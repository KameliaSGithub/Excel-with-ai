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9D051BAC-CD41-4FDA-B10D-7F7A2476B2D9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1" sheetId="1" r:id="rId1"/>
    <sheet name="Sheet1" sheetId="7" r:id="rId2"/>
    <sheet name="Sheet2" sheetId="3" r:id="rId3"/>
    <sheet name="Sheet4" sheetId="6" r:id="rId4"/>
  </sheets>
  <calcPr calcId="191028"/>
  <pivotCaches>
    <pivotCache cacheId="32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K3" i="1"/>
  <c r="P42" i="1" l="1"/>
  <c r="Q42" i="1"/>
  <c r="P41" i="1"/>
  <c r="Q41" i="1"/>
  <c r="P40" i="1"/>
  <c r="Q40" i="1"/>
  <c r="P39" i="1"/>
  <c r="Q39" i="1"/>
  <c r="P38" i="1"/>
  <c r="Q38" i="1"/>
  <c r="P37" i="1"/>
  <c r="Q37" i="1"/>
  <c r="P36" i="1"/>
  <c r="Q36" i="1"/>
  <c r="P35" i="1"/>
  <c r="Q35" i="1"/>
  <c r="P34" i="1"/>
  <c r="Q34" i="1"/>
  <c r="P33" i="1"/>
  <c r="Q33" i="1"/>
  <c r="P32" i="1"/>
  <c r="Q32" i="1"/>
  <c r="P31" i="1"/>
  <c r="Q31" i="1"/>
  <c r="P30" i="1"/>
  <c r="Q30" i="1"/>
  <c r="P29" i="1"/>
  <c r="Q29" i="1"/>
  <c r="P28" i="1"/>
  <c r="Q28" i="1"/>
  <c r="P27" i="1"/>
  <c r="Q27" i="1"/>
  <c r="P26" i="1"/>
  <c r="Q26" i="1"/>
  <c r="P25" i="1"/>
  <c r="Q25" i="1"/>
  <c r="P24" i="1"/>
  <c r="Q24" i="1"/>
  <c r="P23" i="1"/>
  <c r="Q23" i="1"/>
  <c r="P22" i="1"/>
  <c r="Q22" i="1"/>
  <c r="P21" i="1"/>
  <c r="Q21" i="1"/>
  <c r="P20" i="1"/>
  <c r="Q20" i="1"/>
  <c r="P19" i="1"/>
  <c r="Q19" i="1"/>
  <c r="P18" i="1"/>
  <c r="Q18" i="1"/>
  <c r="P17" i="1"/>
  <c r="Q17" i="1"/>
  <c r="P16" i="1"/>
  <c r="Q16" i="1"/>
  <c r="P15" i="1"/>
  <c r="Q15" i="1"/>
  <c r="P14" i="1"/>
  <c r="Q14" i="1"/>
  <c r="P13" i="1"/>
  <c r="Q13" i="1"/>
  <c r="P12" i="1"/>
  <c r="Q12" i="1"/>
  <c r="P11" i="1"/>
  <c r="Q11" i="1"/>
  <c r="P10" i="1"/>
  <c r="Q10" i="1"/>
  <c r="P9" i="1"/>
  <c r="Q9" i="1"/>
  <c r="P8" i="1"/>
  <c r="Q8" i="1"/>
  <c r="P7" i="1"/>
  <c r="Q7" i="1"/>
  <c r="P6" i="1"/>
  <c r="Q6" i="1"/>
  <c r="O5" i="1"/>
  <c r="P5" i="1"/>
  <c r="Q5" i="1"/>
  <c r="P4" i="1"/>
  <c r="Q4" i="1"/>
  <c r="P3" i="1"/>
  <c r="Q3" i="1"/>
  <c r="N42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4" i="1"/>
  <c r="O3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<sst xmlns="http://schemas.openxmlformats.org/spreadsheetml/2006/main" count="276" uniqueCount="87">
  <si>
    <t>Order ID</t>
  </si>
  <si>
    <t>Order Date</t>
  </si>
  <si>
    <t>Region</t>
  </si>
  <si>
    <t>Salesperson</t>
  </si>
  <si>
    <t>Product</t>
  </si>
  <si>
    <t>Category</t>
  </si>
  <si>
    <t>Units</t>
  </si>
  <si>
    <t>Unit Price</t>
  </si>
  <si>
    <t>Payment Status</t>
  </si>
  <si>
    <t>Data</t>
  </si>
  <si>
    <t>Order Age</t>
  </si>
  <si>
    <t>Weekday</t>
  </si>
  <si>
    <t>Revenue</t>
  </si>
  <si>
    <t>KPI block</t>
  </si>
  <si>
    <t>AVG REVENUE</t>
  </si>
  <si>
    <t>HIGHEST REVENUE</t>
  </si>
  <si>
    <t>LOWEST REVENUE</t>
  </si>
  <si>
    <t>PAYMENT DUE</t>
  </si>
  <si>
    <t>Months</t>
  </si>
  <si>
    <t>ORD-1001</t>
  </si>
  <si>
    <t>North</t>
  </si>
  <si>
    <t>John Smith</t>
  </si>
  <si>
    <t>Laptop</t>
  </si>
  <si>
    <t>Electronics</t>
  </si>
  <si>
    <t>Paid</t>
  </si>
  <si>
    <t>ORD-1002</t>
  </si>
  <si>
    <t>South</t>
  </si>
  <si>
    <t>Emily Brown</t>
  </si>
  <si>
    <t>Office Chair</t>
  </si>
  <si>
    <t>Furniture</t>
  </si>
  <si>
    <t>ORD-1003</t>
  </si>
  <si>
    <t>East</t>
  </si>
  <si>
    <t>Michael Davis</t>
  </si>
  <si>
    <t>Printer</t>
  </si>
  <si>
    <t>Pending</t>
  </si>
  <si>
    <t>ORD-1004</t>
  </si>
  <si>
    <t>West</t>
  </si>
  <si>
    <t>Sarah Wilson</t>
  </si>
  <si>
    <t>Desk</t>
  </si>
  <si>
    <t>ORD-1005</t>
  </si>
  <si>
    <t>David Miller</t>
  </si>
  <si>
    <t>Notebook Pack</t>
  </si>
  <si>
    <t>Supplies</t>
  </si>
  <si>
    <t>ORD-1006</t>
  </si>
  <si>
    <t>Monitor</t>
  </si>
  <si>
    <t>Overdue</t>
  </si>
  <si>
    <t>ORD-1007</t>
  </si>
  <si>
    <t>ORD-1008</t>
  </si>
  <si>
    <t>Pen Set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</si>
  <si>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</si>
  <si>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</si>
  <si>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</si>
  <si>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</si>
  <si>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</si>
  <si>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</si>
  <si>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</si>
  <si>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</si>
  <si>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</si>
  <si>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</si>
  <si>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</si>
  <si>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</si>
  <si>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</si>
  <si>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</si>
  <si>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</si>
  <si>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</si>
  <si>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</si>
  <si>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</si>
  <si>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</si>
  <si>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</si>
  <si>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</si>
  <si>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</si>
  <si>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</si>
  <si>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</si>
  <si>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</si>
  <si>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</si>
  <si>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</si>
  <si>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</si>
  <si>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</si>
  <si>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</si>
  <si>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</si>
  <si>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</si>
  <si>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Sum of Revenue</t>
  </si>
  <si>
    <t>Grand Total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</si>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</sst>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0" borderId="0" xfId="0" pivotButton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[ExcelWithAi.xlsx]Sheet1!PivotTable7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20-4468-AF91-C301658AA7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20-4468-AF91-C301658AA7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20-4468-AF91-C301658AA7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20-4468-AF91-C301658AA7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10890</c:v>
                </c:pt>
                <c:pt idx="1">
                  <c:v>15266</c:v>
                </c:pt>
                <c:pt idx="2">
                  <c:v>17679</c:v>
                </c:pt>
                <c:pt idx="3">
                  <c:v>11800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7-4D74-BA70-6444E70F95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[ExcelWithAi.xlsx]Sheet4!PivotTable5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Sheet4!$A$4:$A$8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11800</c:v>
                </c:pt>
                <c:pt idx="1">
                  <c:v>15720</c:v>
                </c:pt>
                <c:pt idx="2">
                  <c:v>10909</c:v>
                </c:pt>
                <c:pt idx="3">
                  <c:v>17206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D6-4598-AE1C-2EE6414E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1231880"/>
        <c:axId val="1919312392"/>
      </c:lineChart>
      <c:catAx>
        <c:axId val="140123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312392"/>
        <c:crosses val="autoZero"/>
        <c:auto val="1"/>
        <c:lblAlgn val="ctr"/>
        <c:lblOffset val="100"/>
        <c:noMultiLvlLbl val="0"/>
      </c:catAx>
      <c:valAx>
        <c:axId val="191931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231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0</xdr:row>
      <xdr:rowOff>0</xdr:rowOff>
    </xdr:from>
    <xdr:to>
      <xdr:col>9</xdr:col>
      <xdr:colOff>466725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714D6-BC99-67AC-32D9-CDB1FFC0A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0</xdr:row>
      <xdr:rowOff>0</xdr:rowOff>
    </xdr:from>
    <xdr:to>
      <xdr:col>9</xdr:col>
      <xdr:colOff>552450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448C73-5BCB-EC2D-2386-AFBA33C3B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5.491359027779" createdVersion="8" refreshedVersion="8" minRefreshableVersion="3" recordCount="40" xr:uid="{4E87B00A-7D3A-4B3E-971E-80CC4C3BAF37}">
  <cacheSource type="worksheet">
    <worksheetSource name="Table1"/>
  </cacheSource>
  <cacheFields count="19">
    <cacheField name="Order ID" numFmtId="0">
      <sharedItems/>
    </cacheField>
    <cacheField name="Order Date" numFmtId="14">
      <sharedItems containsSemiMixedTypes="0" containsNonDate="0" containsDate="1" containsString="0" minDate="2026-01-05T00:00:00" maxDate="2026-05-01T00:00:00" count="40">
        <d v="2026-01-05T00:00:00"/>
        <d v="2026-01-08T00:00:00"/>
        <d v="2026-01-12T00:00:00"/>
        <d v="2026-01-15T00:00:00"/>
        <d v="2026-01-18T00:00:00"/>
        <d v="2026-01-21T00:00:00"/>
        <d v="2026-01-24T00:00:00"/>
        <d v="2026-01-27T00:00:00"/>
        <d v="2026-02-02T00:00:00"/>
        <d v="2026-02-04T00:00:00"/>
        <d v="2026-02-07T00:00:00"/>
        <d v="2026-02-10T00:00:00"/>
        <d v="2026-02-13T00:00:00"/>
        <d v="2026-02-16T00:00:00"/>
        <d v="2026-02-19T00:00:00"/>
        <d v="2026-02-22T00:00:00"/>
        <d v="2026-02-25T00:00:00"/>
        <d v="2026-02-27T00:00:00"/>
        <d v="2026-03-03T00:00:00"/>
        <d v="2026-03-05T00:00:00"/>
        <d v="2026-03-08T00:00:00"/>
        <d v="2026-03-10T00:00:00"/>
        <d v="2026-03-13T00:00:00"/>
        <d v="2026-03-16T00:00:00"/>
        <d v="2026-03-19T00:00:00"/>
        <d v="2026-03-21T00:00:00"/>
        <d v="2026-03-24T00:00:00"/>
        <d v="2026-03-27T00:00:00"/>
        <d v="2026-04-02T00:00:00"/>
        <d v="2026-04-04T00:00:00"/>
        <d v="2026-04-07T00:00:00"/>
        <d v="2026-04-10T00:00:00"/>
        <d v="2026-04-13T00:00:00"/>
        <d v="2026-04-16T00:00:00"/>
        <d v="2026-04-19T00:00:00"/>
        <d v="2026-04-22T00:00:00"/>
        <d v="2026-04-25T00:00:00"/>
        <d v="2026-04-27T00:00:00"/>
        <d v="2026-04-29T00:00:00"/>
        <d v="2026-04-30T00:00:00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/>
    </cacheField>
    <cacheField name="Category" numFmtId="0">
      <sharedItems/>
    </cacheField>
    <cacheField name="Units" numFmtId="0">
      <sharedItems containsSemiMixedTypes="0" containsString="0" containsNumber="1" containsInteger="1" minValue="2" maxValue="50"/>
    </cacheField>
    <cacheField name="Unit Price" numFmtId="0">
      <sharedItems containsSemiMixedTypes="0" containsString="0" containsNumber="1" containsInteger="1" minValue="5" maxValue="850"/>
    </cacheField>
    <cacheField name="Payment Status" numFmtId="0">
      <sharedItems/>
    </cacheField>
    <cacheField name="Data" numFmtId="0">
      <sharedItems containsSemiMixedTypes="0" containsString="0" containsNumber="1" containsInteger="1" minValue="46058" maxValue="46172"/>
    </cacheField>
    <cacheField name="Order Age" numFmtId="2">
      <sharedItems containsSemiMixedTypes="0" containsString="0" containsNumber="1" containsInteger="1" minValue="173" maxValue="288"/>
    </cacheField>
    <cacheField name="Weekday" numFmtId="0">
      <sharedItems/>
    </cacheField>
    <cacheField name="Revenue" numFmtId="0">
      <sharedItems containsSemiMixedTypes="0" containsString="0" containsNumber="1" containsInteger="1" minValue="100" maxValue="5100"/>
    </cacheField>
    <cacheField name="KPI block" numFmtId="0">
      <sharedItems containsSemiMixedTypes="0" containsString="0" containsNumber="1" containsInteger="1" minValue="400" maxValue="55635"/>
    </cacheField>
    <cacheField name="AVG REVENUE" numFmtId="0">
      <sharedItems containsSemiMixedTypes="0" containsString="0" containsNumber="1" containsInteger="1" minValue="400" maxValue="1628"/>
    </cacheField>
    <cacheField name="HIGHEST REVENUE" numFmtId="0">
      <sharedItems containsSemiMixedTypes="0" containsString="0" containsNumber="1" containsInteger="1" minValue="400" maxValue="5100"/>
    </cacheField>
    <cacheField name="LOWEST REVENUE" numFmtId="0">
      <sharedItems containsSemiMixedTypes="0" containsString="0" containsNumber="1" containsInteger="1" minValue="100" maxValue="400"/>
    </cacheField>
    <cacheField name="PAYMENT DUE" numFmtId="14">
      <sharedItems containsSemiMixedTypes="0" containsNonDate="0" containsDate="1" containsString="0" minDate="2026-03-05T00:00:00" maxDate="2026-07-01T00:00:00"/>
    </cacheField>
    <cacheField name="Months" numFmtId="0">
      <sharedItems count="4">
        <s v="January"/>
        <s v="February"/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ORD-1001"/>
    <x v="0"/>
    <x v="0"/>
    <s v="John Smith"/>
    <s v="Laptop"/>
    <s v="Electronics"/>
    <n v="5"/>
    <n v="850"/>
    <s v="Paid"/>
    <n v="46058"/>
    <n v="288"/>
    <s v="Monday"/>
    <n v="4250"/>
    <n v="55635"/>
    <n v="1391"/>
    <n v="5100"/>
    <n v="100"/>
    <d v="2026-03-05T00:00:00"/>
    <x v="0"/>
  </r>
  <r>
    <s v="ORD-1002"/>
    <x v="1"/>
    <x v="1"/>
    <s v="Emily Brown"/>
    <s v="Office Chair"/>
    <s v="Furniture"/>
    <n v="12"/>
    <n v="120"/>
    <s v="Paid"/>
    <n v="46061"/>
    <n v="285"/>
    <s v="Thursday"/>
    <n v="1440"/>
    <n v="51385"/>
    <n v="1318"/>
    <n v="5100"/>
    <n v="100"/>
    <d v="2026-03-08T00:00:00"/>
    <x v="0"/>
  </r>
  <r>
    <s v="ORD-1003"/>
    <x v="2"/>
    <x v="2"/>
    <s v="Michael Davis"/>
    <s v="Printer"/>
    <s v="Electronics"/>
    <n v="4"/>
    <n v="250"/>
    <s v="Pending"/>
    <n v="46065"/>
    <n v="281"/>
    <s v="Monday"/>
    <n v="1000"/>
    <n v="49945"/>
    <n v="1314"/>
    <n v="5100"/>
    <n v="100"/>
    <d v="2026-03-12T00:00:00"/>
    <x v="0"/>
  </r>
  <r>
    <s v="ORD-1004"/>
    <x v="3"/>
    <x v="3"/>
    <s v="Sarah Wilson"/>
    <s v="Desk"/>
    <s v="Furniture"/>
    <n v="6"/>
    <n v="300"/>
    <s v="Paid"/>
    <n v="46068"/>
    <n v="278"/>
    <s v="Thursday"/>
    <n v="1800"/>
    <n v="48945"/>
    <n v="1323"/>
    <n v="5100"/>
    <n v="100"/>
    <d v="2026-03-15T00:00:00"/>
    <x v="0"/>
  </r>
  <r>
    <s v="ORD-1005"/>
    <x v="4"/>
    <x v="0"/>
    <s v="David Miller"/>
    <s v="Notebook Pack"/>
    <s v="Supplies"/>
    <n v="25"/>
    <n v="8"/>
    <s v="Paid"/>
    <n v="46071"/>
    <n v="275"/>
    <s v="Sunday"/>
    <n v="200"/>
    <n v="47145"/>
    <n v="1310"/>
    <n v="5100"/>
    <n v="100"/>
    <d v="2026-03-18T00:00:00"/>
    <x v="0"/>
  </r>
  <r>
    <s v="ORD-1006"/>
    <x v="5"/>
    <x v="1"/>
    <s v="John Smith"/>
    <s v="Monitor"/>
    <s v="Electronics"/>
    <n v="8"/>
    <n v="220"/>
    <s v="Overdue"/>
    <n v="46074"/>
    <n v="272"/>
    <s v="Wednesday"/>
    <n v="1760"/>
    <n v="46945"/>
    <n v="1341"/>
    <n v="5100"/>
    <n v="100"/>
    <d v="2026-03-21T00:00:00"/>
    <x v="0"/>
  </r>
  <r>
    <s v="ORD-1007"/>
    <x v="6"/>
    <x v="2"/>
    <s v="Emily Brown"/>
    <s v="Office Chair"/>
    <s v="Furniture"/>
    <n v="10"/>
    <n v="120"/>
    <s v="Paid"/>
    <n v="46077"/>
    <n v="269"/>
    <s v="Saturday"/>
    <n v="1200"/>
    <n v="45185"/>
    <n v="1329"/>
    <n v="5100"/>
    <n v="100"/>
    <d v="2026-03-24T00:00:00"/>
    <x v="0"/>
  </r>
  <r>
    <s v="ORD-1008"/>
    <x v="7"/>
    <x v="3"/>
    <s v="Michael Davis"/>
    <s v="Pen Set"/>
    <s v="Supplies"/>
    <n v="30"/>
    <n v="5"/>
    <s v="Pending"/>
    <n v="46080"/>
    <n v="266"/>
    <s v="Tuesday"/>
    <n v="150"/>
    <n v="43985"/>
    <n v="1333"/>
    <n v="5100"/>
    <n v="100"/>
    <d v="2026-03-27T00:00:00"/>
    <x v="0"/>
  </r>
  <r>
    <s v="ORD-1009"/>
    <x v="8"/>
    <x v="0"/>
    <s v="Sarah Wilson"/>
    <s v="Laptop"/>
    <s v="Electronics"/>
    <n v="3"/>
    <n v="850"/>
    <s v="Paid"/>
    <n v="46083"/>
    <n v="260"/>
    <s v="Monday"/>
    <n v="2550"/>
    <n v="43835"/>
    <n v="1370"/>
    <n v="5100"/>
    <n v="100"/>
    <d v="2026-04-02T00:00:00"/>
    <x v="1"/>
  </r>
  <r>
    <s v="ORD-1010"/>
    <x v="9"/>
    <x v="1"/>
    <s v="David Miller"/>
    <s v="Desk"/>
    <s v="Furniture"/>
    <n v="7"/>
    <n v="300"/>
    <s v="Paid"/>
    <n v="46085"/>
    <n v="258"/>
    <s v="Wednesday"/>
    <n v="2100"/>
    <n v="41285"/>
    <n v="1332"/>
    <n v="5100"/>
    <n v="100"/>
    <d v="2026-04-04T00:00:00"/>
    <x v="1"/>
  </r>
  <r>
    <s v="ORD-1011"/>
    <x v="10"/>
    <x v="2"/>
    <s v="John Smith"/>
    <s v="Printer"/>
    <s v="Electronics"/>
    <n v="5"/>
    <n v="250"/>
    <s v="Pending"/>
    <n v="46088"/>
    <n v="255"/>
    <s v="Saturday"/>
    <n v="1250"/>
    <n v="39185"/>
    <n v="1306"/>
    <n v="5100"/>
    <n v="100"/>
    <d v="2026-04-07T00:00:00"/>
    <x v="1"/>
  </r>
  <r>
    <s v="ORD-1012"/>
    <x v="11"/>
    <x v="3"/>
    <s v="Emily Brown"/>
    <s v="Notebook Pack"/>
    <s v="Supplies"/>
    <n v="40"/>
    <n v="8"/>
    <s v="Paid"/>
    <n v="46091"/>
    <n v="252"/>
    <s v="Tuesday"/>
    <n v="320"/>
    <n v="37935"/>
    <n v="1308"/>
    <n v="5100"/>
    <n v="100"/>
    <d v="2026-04-10T00:00:00"/>
    <x v="1"/>
  </r>
  <r>
    <s v="ORD-1013"/>
    <x v="12"/>
    <x v="0"/>
    <s v="Michael Davis"/>
    <s v="Monitor"/>
    <s v="Electronics"/>
    <n v="6"/>
    <n v="220"/>
    <s v="Paid"/>
    <n v="46094"/>
    <n v="249"/>
    <s v="Friday"/>
    <n v="1320"/>
    <n v="37615"/>
    <n v="1343"/>
    <n v="5100"/>
    <n v="100"/>
    <d v="2026-04-13T00:00:00"/>
    <x v="1"/>
  </r>
  <r>
    <s v="ORD-1014"/>
    <x v="13"/>
    <x v="1"/>
    <s v="Sarah Wilson"/>
    <s v="Office Chair"/>
    <s v="Furniture"/>
    <n v="15"/>
    <n v="120"/>
    <s v="Overdue"/>
    <n v="46097"/>
    <n v="246"/>
    <s v="Monday"/>
    <n v="1800"/>
    <n v="36295"/>
    <n v="1344"/>
    <n v="5100"/>
    <n v="100"/>
    <d v="2026-04-16T00:00:00"/>
    <x v="1"/>
  </r>
  <r>
    <s v="ORD-1015"/>
    <x v="14"/>
    <x v="2"/>
    <s v="David Miller"/>
    <s v="Pen Set"/>
    <s v="Supplies"/>
    <n v="20"/>
    <n v="5"/>
    <s v="Paid"/>
    <n v="46100"/>
    <n v="243"/>
    <s v="Thursday"/>
    <n v="100"/>
    <n v="34495"/>
    <n v="1327"/>
    <n v="5100"/>
    <n v="100"/>
    <d v="2026-04-19T00:00:00"/>
    <x v="1"/>
  </r>
  <r>
    <s v="ORD-1016"/>
    <x v="15"/>
    <x v="3"/>
    <s v="John Smith"/>
    <s v="Laptop"/>
    <s v="Electronics"/>
    <n v="4"/>
    <n v="850"/>
    <s v="Pending"/>
    <n v="46103"/>
    <n v="240"/>
    <s v="Sunday"/>
    <n v="3400"/>
    <n v="34395"/>
    <n v="1376"/>
    <n v="5100"/>
    <n v="160"/>
    <d v="2026-04-22T00:00:00"/>
    <x v="1"/>
  </r>
  <r>
    <s v="ORD-1017"/>
    <x v="16"/>
    <x v="0"/>
    <s v="Emily Brown"/>
    <s v="Desk"/>
    <s v="Furniture"/>
    <n v="3"/>
    <n v="300"/>
    <s v="Paid"/>
    <n v="46106"/>
    <n v="237"/>
    <s v="Wednesday"/>
    <n v="900"/>
    <n v="30995"/>
    <n v="1291"/>
    <n v="5100"/>
    <n v="160"/>
    <d v="2026-04-25T00:00:00"/>
    <x v="1"/>
  </r>
  <r>
    <s v="ORD-1018"/>
    <x v="17"/>
    <x v="1"/>
    <s v="Michael Davis"/>
    <s v="Monitor"/>
    <s v="Electronics"/>
    <n v="9"/>
    <n v="220"/>
    <s v="Paid"/>
    <n v="46108"/>
    <n v="235"/>
    <s v="Friday"/>
    <n v="1980"/>
    <n v="30095"/>
    <n v="1308"/>
    <n v="5100"/>
    <n v="160"/>
    <d v="2026-04-27T00:00:00"/>
    <x v="1"/>
  </r>
  <r>
    <s v="ORD-1019"/>
    <x v="18"/>
    <x v="2"/>
    <s v="Sarah Wilson"/>
    <s v="Notebook Pack"/>
    <s v="Supplies"/>
    <n v="35"/>
    <n v="8"/>
    <s v="Paid"/>
    <n v="46115"/>
    <n v="231"/>
    <s v="Tuesday"/>
    <n v="280"/>
    <n v="28115"/>
    <n v="1278"/>
    <n v="5100"/>
    <n v="160"/>
    <d v="2026-05-03T00:00:00"/>
    <x v="2"/>
  </r>
  <r>
    <s v="ORD-1020"/>
    <x v="19"/>
    <x v="3"/>
    <s v="David Miller"/>
    <s v="Printer"/>
    <s v="Electronics"/>
    <n v="7"/>
    <n v="250"/>
    <s v="Overdue"/>
    <n v="46117"/>
    <n v="229"/>
    <s v="Thursday"/>
    <n v="1750"/>
    <n v="27835"/>
    <n v="1325"/>
    <n v="5100"/>
    <n v="160"/>
    <d v="2026-05-05T00:00:00"/>
    <x v="2"/>
  </r>
  <r>
    <s v="ORD-1021"/>
    <x v="20"/>
    <x v="0"/>
    <s v="John Smith"/>
    <s v="Office Chair"/>
    <s v="Furniture"/>
    <n v="8"/>
    <n v="120"/>
    <s v="Paid"/>
    <n v="46120"/>
    <n v="226"/>
    <s v="Sunday"/>
    <n v="960"/>
    <n v="26085"/>
    <n v="1304"/>
    <n v="5100"/>
    <n v="160"/>
    <d v="2026-05-08T00:00:00"/>
    <x v="2"/>
  </r>
  <r>
    <s v="ORD-1022"/>
    <x v="21"/>
    <x v="1"/>
    <s v="Emily Brown"/>
    <s v="Pen Set"/>
    <s v="Supplies"/>
    <n v="45"/>
    <n v="5"/>
    <s v="Pending"/>
    <n v="46122"/>
    <n v="224"/>
    <s v="Tuesday"/>
    <n v="225"/>
    <n v="25125"/>
    <n v="1322"/>
    <n v="5100"/>
    <n v="160"/>
    <d v="2026-05-10T00:00:00"/>
    <x v="2"/>
  </r>
  <r>
    <s v="ORD-1023"/>
    <x v="22"/>
    <x v="2"/>
    <s v="Michael Davis"/>
    <s v="Laptop"/>
    <s v="Electronics"/>
    <n v="2"/>
    <n v="850"/>
    <s v="Paid"/>
    <n v="46125"/>
    <n v="221"/>
    <s v="Friday"/>
    <n v="1700"/>
    <n v="24900"/>
    <n v="1383"/>
    <n v="5100"/>
    <n v="160"/>
    <d v="2026-05-13T00:00:00"/>
    <x v="2"/>
  </r>
  <r>
    <s v="ORD-1024"/>
    <x v="23"/>
    <x v="3"/>
    <s v="Sarah Wilson"/>
    <s v="Desk"/>
    <s v="Furniture"/>
    <n v="5"/>
    <n v="300"/>
    <s v="Paid"/>
    <n v="46128"/>
    <n v="218"/>
    <s v="Monday"/>
    <n v="1500"/>
    <n v="23200"/>
    <n v="1365"/>
    <n v="5100"/>
    <n v="160"/>
    <d v="2026-05-16T00:00:00"/>
    <x v="2"/>
  </r>
  <r>
    <s v="ORD-1025"/>
    <x v="24"/>
    <x v="0"/>
    <s v="David Miller"/>
    <s v="Monitor"/>
    <s v="Electronics"/>
    <n v="10"/>
    <n v="220"/>
    <s v="Paid"/>
    <n v="46131"/>
    <n v="215"/>
    <s v="Thursday"/>
    <n v="2200"/>
    <n v="21700"/>
    <n v="1356"/>
    <n v="5100"/>
    <n v="160"/>
    <d v="2026-05-19T00:00:00"/>
    <x v="2"/>
  </r>
  <r>
    <s v="ORD-1026"/>
    <x v="25"/>
    <x v="1"/>
    <s v="John Smith"/>
    <s v="Notebook Pack"/>
    <s v="Supplies"/>
    <n v="28"/>
    <n v="8"/>
    <s v="Overdue"/>
    <n v="46133"/>
    <n v="213"/>
    <s v="Saturday"/>
    <n v="224"/>
    <n v="19500"/>
    <n v="1300"/>
    <n v="5100"/>
    <n v="160"/>
    <d v="2026-05-21T00:00:00"/>
    <x v="2"/>
  </r>
  <r>
    <s v="ORD-1027"/>
    <x v="26"/>
    <x v="2"/>
    <s v="Emily Brown"/>
    <s v="Office Chair"/>
    <s v="Furniture"/>
    <n v="11"/>
    <n v="120"/>
    <s v="Paid"/>
    <n v="46136"/>
    <n v="210"/>
    <s v="Tuesday"/>
    <n v="1320"/>
    <n v="19276"/>
    <n v="1377"/>
    <n v="5100"/>
    <n v="160"/>
    <d v="2026-05-24T00:00:00"/>
    <x v="2"/>
  </r>
  <r>
    <s v="ORD-1028"/>
    <x v="27"/>
    <x v="3"/>
    <s v="Michael Davis"/>
    <s v="Printer"/>
    <s v="Electronics"/>
    <n v="3"/>
    <n v="250"/>
    <s v="Pending"/>
    <n v="46139"/>
    <n v="207"/>
    <s v="Friday"/>
    <n v="750"/>
    <n v="17956"/>
    <n v="1381"/>
    <n v="5100"/>
    <n v="160"/>
    <d v="2026-05-27T00:00:00"/>
    <x v="2"/>
  </r>
  <r>
    <s v="ORD-1029"/>
    <x v="28"/>
    <x v="0"/>
    <s v="Sarah Wilson"/>
    <s v="Pen Set"/>
    <s v="Supplies"/>
    <n v="32"/>
    <n v="5"/>
    <s v="Paid"/>
    <n v="46144"/>
    <n v="201"/>
    <s v="Thursday"/>
    <n v="160"/>
    <n v="17206"/>
    <n v="1434"/>
    <n v="5100"/>
    <n v="160"/>
    <d v="2026-06-02T00:00:00"/>
    <x v="3"/>
  </r>
  <r>
    <s v="ORD-1030"/>
    <x v="29"/>
    <x v="1"/>
    <s v="David Miller"/>
    <s v="Laptop"/>
    <s v="Electronics"/>
    <n v="6"/>
    <n v="850"/>
    <s v="Paid"/>
    <n v="46146"/>
    <n v="199"/>
    <s v="Saturday"/>
    <n v="5100"/>
    <n v="17046"/>
    <n v="1550"/>
    <n v="5100"/>
    <n v="176"/>
    <d v="2026-06-04T00:00:00"/>
    <x v="3"/>
  </r>
  <r>
    <s v="ORD-1031"/>
    <x v="30"/>
    <x v="2"/>
    <s v="John Smith"/>
    <s v="Desk"/>
    <s v="Furniture"/>
    <n v="4"/>
    <n v="300"/>
    <s v="Pending"/>
    <n v="46149"/>
    <n v="196"/>
    <s v="Tuesday"/>
    <n v="1200"/>
    <n v="11946"/>
    <n v="1195"/>
    <n v="2550"/>
    <n v="176"/>
    <d v="2026-06-07T00:00:00"/>
    <x v="3"/>
  </r>
  <r>
    <s v="ORD-1032"/>
    <x v="31"/>
    <x v="3"/>
    <s v="Emily Brown"/>
    <s v="Monitor"/>
    <s v="Electronics"/>
    <n v="7"/>
    <n v="220"/>
    <s v="Paid"/>
    <n v="46152"/>
    <n v="193"/>
    <s v="Friday"/>
    <n v="1540"/>
    <n v="10746"/>
    <n v="1194"/>
    <n v="2550"/>
    <n v="176"/>
    <d v="2026-06-10T00:00:00"/>
    <x v="3"/>
  </r>
  <r>
    <s v="ORD-1033"/>
    <x v="32"/>
    <x v="0"/>
    <s v="Michael Davis"/>
    <s v="Notebook Pack"/>
    <s v="Supplies"/>
    <n v="22"/>
    <n v="8"/>
    <s v="Paid"/>
    <n v="46155"/>
    <n v="190"/>
    <s v="Monday"/>
    <n v="176"/>
    <n v="9206"/>
    <n v="1151"/>
    <n v="2550"/>
    <n v="176"/>
    <d v="2026-06-13T00:00:00"/>
    <x v="3"/>
  </r>
  <r>
    <s v="ORD-1034"/>
    <x v="33"/>
    <x v="1"/>
    <s v="Sarah Wilson"/>
    <s v="Printer"/>
    <s v="Electronics"/>
    <n v="5"/>
    <n v="250"/>
    <s v="Overdue"/>
    <n v="46158"/>
    <n v="187"/>
    <s v="Thursday"/>
    <n v="1250"/>
    <n v="9030"/>
    <n v="1290"/>
    <n v="2550"/>
    <n v="190"/>
    <d v="2026-06-16T00:00:00"/>
    <x v="3"/>
  </r>
  <r>
    <s v="ORD-1035"/>
    <x v="34"/>
    <x v="2"/>
    <s v="David Miller"/>
    <s v="Office Chair"/>
    <s v="Furniture"/>
    <n v="9"/>
    <n v="120"/>
    <s v="Paid"/>
    <n v="46161"/>
    <n v="184"/>
    <s v="Sunday"/>
    <n v="1080"/>
    <n v="7780"/>
    <n v="1297"/>
    <n v="2550"/>
    <n v="190"/>
    <d v="2026-06-19T00:00:00"/>
    <x v="3"/>
  </r>
  <r>
    <s v="ORD-1036"/>
    <x v="35"/>
    <x v="3"/>
    <s v="John Smith"/>
    <s v="Pen Set"/>
    <s v="Supplies"/>
    <n v="38"/>
    <n v="5"/>
    <s v="Paid"/>
    <n v="46164"/>
    <n v="181"/>
    <s v="Wednesday"/>
    <n v="190"/>
    <n v="6700"/>
    <n v="1340"/>
    <n v="2550"/>
    <n v="190"/>
    <d v="2026-06-22T00:00:00"/>
    <x v="3"/>
  </r>
  <r>
    <s v="ORD-1037"/>
    <x v="36"/>
    <x v="0"/>
    <s v="Emily Brown"/>
    <s v="Laptop"/>
    <s v="Electronics"/>
    <n v="3"/>
    <n v="850"/>
    <s v="Pending"/>
    <n v="46167"/>
    <n v="178"/>
    <s v="Saturday"/>
    <n v="2550"/>
    <n v="6510"/>
    <n v="1628"/>
    <n v="2550"/>
    <n v="400"/>
    <d v="2026-06-25T00:00:00"/>
    <x v="3"/>
  </r>
  <r>
    <s v="ORD-1038"/>
    <x v="37"/>
    <x v="1"/>
    <s v="Michael Davis"/>
    <s v="Desk"/>
    <s v="Furniture"/>
    <n v="6"/>
    <n v="300"/>
    <s v="Paid"/>
    <n v="46169"/>
    <n v="176"/>
    <s v="Monday"/>
    <n v="1800"/>
    <n v="3960"/>
    <n v="1320"/>
    <n v="1800"/>
    <n v="400"/>
    <d v="2026-06-27T00:00:00"/>
    <x v="3"/>
  </r>
  <r>
    <s v="ORD-1039"/>
    <x v="38"/>
    <x v="2"/>
    <s v="Sarah Wilson"/>
    <s v="Monitor"/>
    <s v="Electronics"/>
    <n v="8"/>
    <n v="220"/>
    <s v="Paid"/>
    <n v="46171"/>
    <n v="174"/>
    <s v="Wednesday"/>
    <n v="1760"/>
    <n v="2160"/>
    <n v="1080"/>
    <n v="1760"/>
    <n v="400"/>
    <d v="2026-06-29T00:00:00"/>
    <x v="3"/>
  </r>
  <r>
    <s v="ORD-1040"/>
    <x v="39"/>
    <x v="3"/>
    <s v="David Miller"/>
    <s v="Notebook Pack"/>
    <s v="Supplies"/>
    <n v="50"/>
    <n v="8"/>
    <s v="Overdue"/>
    <n v="46172"/>
    <n v="173"/>
    <s v="Thursday"/>
    <n v="400"/>
    <n v="400"/>
    <n v="400"/>
    <n v="400"/>
    <n v="400"/>
    <d v="2026-06-30T00:00: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131BB-6203-4C4E-9FE6-A006BADEB6B4}" name="PivotTable7" cacheId="3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9">
    <pivotField compact="0" outline="0" showAll="0"/>
    <pivotField compact="0" numFmtId="14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F57CB-0B29-4C41-894A-7F969FA4B765}" name="PivotTable1" cacheId="3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44" firstHeaderRow="1" firstDataRow="1" firstDataCol="1"/>
  <pivotFields count="19">
    <pivotField compact="0" outline="0" showAll="0"/>
    <pivotField axis="axisRow" compact="0" numFmtId="14" outline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Sum of Revenue" fld="1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848E8-44A0-4FFE-B7B8-DF9B74C68DE1}" name="PivotTable5" cacheId="3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E578CB-7549-44AB-9E3E-C9E60DD36923}" name="Table1" displayName="Table1" ref="A2:S42" totalsRowShown="0" headerRowDxfId="11">
  <autoFilter ref="A2:S42" xr:uid="{E8E578CB-7549-44AB-9E3E-C9E60DD36923}"/>
  <tableColumns count="19">
    <tableColumn id="1" xr3:uid="{99DE46CC-F48D-4B90-9B32-5ECF07A0538B}" name="Order ID"/>
    <tableColumn id="2" xr3:uid="{C7A6FD67-492D-4B1F-9752-BED9D2C396CC}" name="Order Date" dataDxfId="10"/>
    <tableColumn id="3" xr3:uid="{F12EB733-7A23-4C5F-8B3E-69B0013EBE8A}" name="Region"/>
    <tableColumn id="4" xr3:uid="{BF617A89-FCA8-4B57-BD09-DB8F9297020B}" name="Salesperson"/>
    <tableColumn id="5" xr3:uid="{1B47554F-4763-4D8E-8B3C-C61E743CCD50}" name="Product"/>
    <tableColumn id="6" xr3:uid="{EBD16A4C-03F3-4AF4-93DF-C9A5BDC999D2}" name="Category"/>
    <tableColumn id="7" xr3:uid="{0B115189-88E1-48E3-B917-E0AFC06B7644}" name="Units"/>
    <tableColumn id="8" xr3:uid="{AC59AC58-CF78-411E-B177-508866B6449E}" name="Unit Price"/>
    <tableColumn id="9" xr3:uid="{75AF7949-CA39-4802-8625-D50EF70AEA61}" name="Payment Status"/>
    <tableColumn id="10" xr3:uid="{533C518C-0A4A-447B-94AC-4F5980F5A2D9}" name="Data" dataDxfId="9">
      <calculatedColumnFormula>EDATE(B3,1)</calculatedColumnFormula>
    </tableColumn>
    <tableColumn id="11" xr3:uid="{3C6567DA-6A39-420D-8ABD-216E69AD7F2B}" name="Order Age" dataDxfId="8">
      <calculatedColumnFormula>TODAY()-B3</calculatedColumnFormula>
    </tableColumn>
    <tableColumn id="12" xr3:uid="{9272D82B-5C27-4AF3-9C06-6447B92629D0}" name="Weekday" dataDxfId="7">
      <calculatedColumnFormula>TEXT(B3,"dddd")</calculatedColumnFormula>
    </tableColumn>
    <tableColumn id="21" xr3:uid="{1B724DA5-BA5B-4290-9544-B7E527496F55}" name="Revenue" dataDxfId="6">
      <calculatedColumnFormula>G3*H3</calculatedColumnFormula>
    </tableColumn>
    <tableColumn id="22" xr3:uid="{DD282603-FE5D-448D-B7AE-965D28C40A3E}" name="KPI block" dataDxfId="5">
      <calculatedColumnFormula>ROUND(SUM(M3:M42),0)</calculatedColumnFormula>
    </tableColumn>
    <tableColumn id="13" xr3:uid="{6CF82E57-F47D-4A1D-8A8C-D9E954E9B46B}" name="AVG REVENUE" dataDxfId="4">
      <calculatedColumnFormula>ROUND(AVERAGE(M3:M42),0)</calculatedColumnFormula>
    </tableColumn>
    <tableColumn id="14" xr3:uid="{CADDD292-063C-4C09-BB91-8E6C35C3AF11}" name="HIGHEST REVENUE" dataDxfId="3">
      <calculatedColumnFormula>MAX(M3:M42)</calculatedColumnFormula>
    </tableColumn>
    <tableColumn id="15" xr3:uid="{1D485FC9-3E60-400D-A3E1-B3875FDFB806}" name="LOWEST REVENUE" dataDxfId="2">
      <calculatedColumnFormula>MIN(M3:M42)</calculatedColumnFormula>
    </tableColumn>
    <tableColumn id="16" xr3:uid="{38692CD2-D636-43C0-AADF-72E19F8F7742}" name="PAYMENT DUE" dataDxfId="1">
      <calculatedColumnFormula>EDATE(B3,2)</calculatedColumnFormula>
    </tableColumn>
    <tableColumn id="17" xr3:uid="{01088786-EA35-4723-8915-9F73DCA4FA22}" name="Months" dataDxfId="0">
      <calculatedColumnFormula>TEXT(B3,"mmmm")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42"/>
  <sheetViews>
    <sheetView topLeftCell="A2" workbookViewId="0">
      <selection activeCell="C10" sqref="C10"/>
    </sheetView>
  </sheetViews>
  <sheetFormatPr defaultRowHeight="15"/>
  <cols>
    <col min="1" max="1" width="17.7109375" customWidth="1"/>
    <col min="2" max="3" width="17.5703125" customWidth="1"/>
    <col min="4" max="4" width="16.7109375" customWidth="1"/>
    <col min="5" max="5" width="18.28515625" customWidth="1"/>
    <col min="6" max="6" width="16.42578125" customWidth="1"/>
    <col min="7" max="7" width="16.140625" customWidth="1"/>
    <col min="8" max="8" width="19.140625" customWidth="1"/>
    <col min="9" max="9" width="18.5703125" customWidth="1"/>
    <col min="10" max="10" width="11.7109375" customWidth="1"/>
    <col min="11" max="11" width="17.140625" customWidth="1"/>
    <col min="12" max="12" width="11.85546875" customWidth="1"/>
    <col min="13" max="13" width="15.5703125" customWidth="1"/>
    <col min="14" max="14" width="25.140625" customWidth="1"/>
    <col min="15" max="15" width="16.42578125" customWidth="1"/>
    <col min="16" max="16" width="15.28515625" customWidth="1"/>
    <col min="17" max="17" width="16.140625" customWidth="1"/>
    <col min="18" max="18" width="14.7109375" customWidth="1"/>
  </cols>
  <sheetData>
    <row r="2" spans="1:1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>
      <c r="A3" t="s">
        <v>19</v>
      </c>
      <c r="B3" s="2">
        <v>46027</v>
      </c>
      <c r="C3" t="s">
        <v>20</v>
      </c>
      <c r="D3" t="s">
        <v>21</v>
      </c>
      <c r="E3" t="s">
        <v>22</v>
      </c>
      <c r="F3" t="s">
        <v>23</v>
      </c>
      <c r="G3">
        <v>5</v>
      </c>
      <c r="H3">
        <v>850</v>
      </c>
      <c r="I3" t="s">
        <v>24</v>
      </c>
      <c r="J3">
        <f t="shared" ref="J3:J42" si="0">EDATE(B3,1)</f>
        <v>46058</v>
      </c>
      <c r="K3" s="4">
        <f t="shared" ref="K3:K42" ca="1" si="1">TODAY()-B3</f>
        <v>288</v>
      </c>
      <c r="L3" t="str">
        <f t="shared" ref="L3:L42" si="2">TEXT(B3,"dddd")</f>
        <v>Monday</v>
      </c>
      <c r="M3">
        <f t="shared" ref="M3:M42" si="3">G3*H3</f>
        <v>4250</v>
      </c>
      <c r="N3" s="3">
        <f t="shared" ref="N3:N42" si="4">ROUND(SUM(M3:M42),0)</f>
        <v>55635</v>
      </c>
      <c r="O3" s="3">
        <f t="shared" ref="O3:O42" si="5">ROUND(AVERAGE(M3:M42),0)</f>
        <v>1391</v>
      </c>
      <c r="P3" s="3">
        <f t="shared" ref="P3:P42" si="6">MAX(M3:M42)</f>
        <v>5100</v>
      </c>
      <c r="Q3" s="3">
        <f t="shared" ref="Q3:Q42" si="7">MIN(M3:M42)</f>
        <v>100</v>
      </c>
      <c r="R3" s="2">
        <f t="shared" ref="R3:R42" si="8">EDATE(B3,2)</f>
        <v>46086</v>
      </c>
      <c r="S3" s="3" t="str">
        <f t="shared" ref="S3:S42" si="9">TEXT(B3,"mmmm")</f>
        <v>January</v>
      </c>
    </row>
    <row r="4" spans="1:19">
      <c r="A4" t="s">
        <v>25</v>
      </c>
      <c r="B4" s="2">
        <v>46030</v>
      </c>
      <c r="C4" t="s">
        <v>26</v>
      </c>
      <c r="D4" t="s">
        <v>27</v>
      </c>
      <c r="E4" t="s">
        <v>28</v>
      </c>
      <c r="F4" t="s">
        <v>29</v>
      </c>
      <c r="G4">
        <v>12</v>
      </c>
      <c r="H4">
        <v>120</v>
      </c>
      <c r="I4" t="s">
        <v>24</v>
      </c>
      <c r="J4">
        <f t="shared" si="0"/>
        <v>46061</v>
      </c>
      <c r="K4" s="4">
        <f t="shared" ca="1" si="1"/>
        <v>285</v>
      </c>
      <c r="L4" t="str">
        <f t="shared" si="2"/>
        <v>Thursday</v>
      </c>
      <c r="M4">
        <f t="shared" si="3"/>
        <v>1440</v>
      </c>
      <c r="N4" s="3">
        <f t="shared" si="4"/>
        <v>51385</v>
      </c>
      <c r="O4" s="3">
        <f t="shared" si="5"/>
        <v>1318</v>
      </c>
      <c r="P4" s="3">
        <f t="shared" si="6"/>
        <v>5100</v>
      </c>
      <c r="Q4" s="3">
        <f t="shared" si="7"/>
        <v>100</v>
      </c>
      <c r="R4" s="2">
        <f t="shared" si="8"/>
        <v>46089</v>
      </c>
      <c r="S4" s="3" t="str">
        <f t="shared" si="9"/>
        <v>January</v>
      </c>
    </row>
    <row r="5" spans="1:19">
      <c r="A5" t="s">
        <v>30</v>
      </c>
      <c r="B5" s="2">
        <v>46034</v>
      </c>
      <c r="C5" t="s">
        <v>31</v>
      </c>
      <c r="D5" t="s">
        <v>32</v>
      </c>
      <c r="E5" t="s">
        <v>33</v>
      </c>
      <c r="F5" t="s">
        <v>23</v>
      </c>
      <c r="G5">
        <v>4</v>
      </c>
      <c r="H5">
        <v>250</v>
      </c>
      <c r="I5" t="s">
        <v>34</v>
      </c>
      <c r="J5">
        <f t="shared" si="0"/>
        <v>46065</v>
      </c>
      <c r="K5" s="4">
        <f t="shared" ca="1" si="1"/>
        <v>281</v>
      </c>
      <c r="L5" t="str">
        <f t="shared" si="2"/>
        <v>Monday</v>
      </c>
      <c r="M5">
        <f t="shared" si="3"/>
        <v>1000</v>
      </c>
      <c r="N5" s="3">
        <f t="shared" si="4"/>
        <v>49945</v>
      </c>
      <c r="O5" s="3">
        <f>ROUND(AVERAGE(M5:M44),0)</f>
        <v>1314</v>
      </c>
      <c r="P5" s="3">
        <f t="shared" si="6"/>
        <v>5100</v>
      </c>
      <c r="Q5" s="3">
        <f t="shared" si="7"/>
        <v>100</v>
      </c>
      <c r="R5" s="2">
        <f t="shared" si="8"/>
        <v>46093</v>
      </c>
      <c r="S5" s="3" t="str">
        <f t="shared" si="9"/>
        <v>January</v>
      </c>
    </row>
    <row r="6" spans="1:19">
      <c r="A6" t="s">
        <v>35</v>
      </c>
      <c r="B6" s="2">
        <v>46037</v>
      </c>
      <c r="C6" t="s">
        <v>36</v>
      </c>
      <c r="D6" t="s">
        <v>37</v>
      </c>
      <c r="E6" t="s">
        <v>38</v>
      </c>
      <c r="F6" t="s">
        <v>29</v>
      </c>
      <c r="G6">
        <v>6</v>
      </c>
      <c r="H6">
        <v>300</v>
      </c>
      <c r="I6" t="s">
        <v>24</v>
      </c>
      <c r="J6">
        <f t="shared" si="0"/>
        <v>46068</v>
      </c>
      <c r="K6" s="4">
        <f t="shared" ca="1" si="1"/>
        <v>278</v>
      </c>
      <c r="L6" t="str">
        <f t="shared" si="2"/>
        <v>Thursday</v>
      </c>
      <c r="M6">
        <f t="shared" si="3"/>
        <v>1800</v>
      </c>
      <c r="N6" s="3">
        <f t="shared" si="4"/>
        <v>48945</v>
      </c>
      <c r="O6" s="3">
        <f t="shared" si="5"/>
        <v>1323</v>
      </c>
      <c r="P6" s="3">
        <f t="shared" si="6"/>
        <v>5100</v>
      </c>
      <c r="Q6" s="3">
        <f t="shared" si="7"/>
        <v>100</v>
      </c>
      <c r="R6" s="2">
        <f t="shared" si="8"/>
        <v>46096</v>
      </c>
      <c r="S6" s="3" t="str">
        <f t="shared" si="9"/>
        <v>January</v>
      </c>
    </row>
    <row r="7" spans="1:19">
      <c r="A7" t="s">
        <v>39</v>
      </c>
      <c r="B7" s="2">
        <v>46040</v>
      </c>
      <c r="C7" t="s">
        <v>20</v>
      </c>
      <c r="D7" t="s">
        <v>40</v>
      </c>
      <c r="E7" t="s">
        <v>41</v>
      </c>
      <c r="F7" t="s">
        <v>42</v>
      </c>
      <c r="G7">
        <v>25</v>
      </c>
      <c r="H7">
        <v>8</v>
      </c>
      <c r="I7" t="s">
        <v>24</v>
      </c>
      <c r="J7">
        <f t="shared" si="0"/>
        <v>46071</v>
      </c>
      <c r="K7" s="4">
        <f t="shared" ca="1" si="1"/>
        <v>275</v>
      </c>
      <c r="L7" t="str">
        <f t="shared" si="2"/>
        <v>Sunday</v>
      </c>
      <c r="M7">
        <f t="shared" si="3"/>
        <v>200</v>
      </c>
      <c r="N7" s="3">
        <f t="shared" si="4"/>
        <v>47145</v>
      </c>
      <c r="O7" s="3">
        <f t="shared" si="5"/>
        <v>1310</v>
      </c>
      <c r="P7" s="3">
        <f t="shared" si="6"/>
        <v>5100</v>
      </c>
      <c r="Q7" s="3">
        <f t="shared" si="7"/>
        <v>100</v>
      </c>
      <c r="R7" s="2">
        <f t="shared" si="8"/>
        <v>46099</v>
      </c>
      <c r="S7" s="3" t="str">
        <f t="shared" si="9"/>
        <v>January</v>
      </c>
    </row>
    <row r="8" spans="1:19">
      <c r="A8" t="s">
        <v>43</v>
      </c>
      <c r="B8" s="2">
        <v>46043</v>
      </c>
      <c r="C8" t="s">
        <v>26</v>
      </c>
      <c r="D8" t="s">
        <v>21</v>
      </c>
      <c r="E8" t="s">
        <v>44</v>
      </c>
      <c r="F8" t="s">
        <v>23</v>
      </c>
      <c r="G8">
        <v>8</v>
      </c>
      <c r="H8">
        <v>220</v>
      </c>
      <c r="I8" t="s">
        <v>45</v>
      </c>
      <c r="J8">
        <f t="shared" si="0"/>
        <v>46074</v>
      </c>
      <c r="K8" s="4">
        <f t="shared" ca="1" si="1"/>
        <v>272</v>
      </c>
      <c r="L8" t="str">
        <f t="shared" si="2"/>
        <v>Wednesday</v>
      </c>
      <c r="M8">
        <f t="shared" si="3"/>
        <v>1760</v>
      </c>
      <c r="N8" s="3">
        <f t="shared" si="4"/>
        <v>46945</v>
      </c>
      <c r="O8" s="3">
        <f t="shared" si="5"/>
        <v>1341</v>
      </c>
      <c r="P8" s="3">
        <f t="shared" si="6"/>
        <v>5100</v>
      </c>
      <c r="Q8" s="3">
        <f t="shared" si="7"/>
        <v>100</v>
      </c>
      <c r="R8" s="2">
        <f t="shared" si="8"/>
        <v>46102</v>
      </c>
      <c r="S8" s="3" t="str">
        <f t="shared" si="9"/>
        <v>January</v>
      </c>
    </row>
    <row r="9" spans="1:19">
      <c r="A9" t="s">
        <v>46</v>
      </c>
      <c r="B9" s="2">
        <v>46046</v>
      </c>
      <c r="C9" t="s">
        <v>31</v>
      </c>
      <c r="D9" t="s">
        <v>27</v>
      </c>
      <c r="E9" t="s">
        <v>28</v>
      </c>
      <c r="F9" t="s">
        <v>29</v>
      </c>
      <c r="G9">
        <v>10</v>
      </c>
      <c r="H9">
        <v>120</v>
      </c>
      <c r="I9" t="s">
        <v>24</v>
      </c>
      <c r="J9">
        <f t="shared" si="0"/>
        <v>46077</v>
      </c>
      <c r="K9" s="4">
        <f t="shared" ca="1" si="1"/>
        <v>269</v>
      </c>
      <c r="L9" t="str">
        <f t="shared" si="2"/>
        <v>Saturday</v>
      </c>
      <c r="M9">
        <f t="shared" si="3"/>
        <v>1200</v>
      </c>
      <c r="N9" s="3">
        <f t="shared" si="4"/>
        <v>45185</v>
      </c>
      <c r="O9" s="3">
        <f t="shared" si="5"/>
        <v>1329</v>
      </c>
      <c r="P9" s="3">
        <f t="shared" si="6"/>
        <v>5100</v>
      </c>
      <c r="Q9" s="3">
        <f t="shared" si="7"/>
        <v>100</v>
      </c>
      <c r="R9" s="2">
        <f t="shared" si="8"/>
        <v>46105</v>
      </c>
      <c r="S9" s="3" t="str">
        <f t="shared" si="9"/>
        <v>January</v>
      </c>
    </row>
    <row r="10" spans="1:19">
      <c r="A10" t="s">
        <v>47</v>
      </c>
      <c r="B10" s="2">
        <v>46049</v>
      </c>
      <c r="C10" t="s">
        <v>36</v>
      </c>
      <c r="D10" t="s">
        <v>32</v>
      </c>
      <c r="E10" t="s">
        <v>48</v>
      </c>
      <c r="F10" t="s">
        <v>42</v>
      </c>
      <c r="G10">
        <v>30</v>
      </c>
      <c r="H10">
        <v>5</v>
      </c>
      <c r="I10" t="s">
        <v>34</v>
      </c>
      <c r="J10">
        <f t="shared" si="0"/>
        <v>46080</v>
      </c>
      <c r="K10" s="4">
        <f t="shared" ca="1" si="1"/>
        <v>266</v>
      </c>
      <c r="L10" t="str">
        <f t="shared" si="2"/>
        <v>Tuesday</v>
      </c>
      <c r="M10">
        <f t="shared" si="3"/>
        <v>150</v>
      </c>
      <c r="N10" s="3">
        <f t="shared" si="4"/>
        <v>43985</v>
      </c>
      <c r="O10" s="3">
        <f t="shared" si="5"/>
        <v>1333</v>
      </c>
      <c r="P10" s="3">
        <f t="shared" si="6"/>
        <v>5100</v>
      </c>
      <c r="Q10" s="3">
        <f t="shared" si="7"/>
        <v>100</v>
      </c>
      <c r="R10" s="2">
        <f t="shared" si="8"/>
        <v>46108</v>
      </c>
      <c r="S10" s="3" t="str">
        <f t="shared" si="9"/>
        <v>January</v>
      </c>
    </row>
    <row r="11" spans="1:19">
      <c r="A11" t="s">
        <v>49</v>
      </c>
      <c r="B11" s="2">
        <v>46055</v>
      </c>
      <c r="C11" t="s">
        <v>20</v>
      </c>
      <c r="D11" t="s">
        <v>37</v>
      </c>
      <c r="E11" t="s">
        <v>22</v>
      </c>
      <c r="F11" t="s">
        <v>23</v>
      </c>
      <c r="G11">
        <v>3</v>
      </c>
      <c r="H11">
        <v>850</v>
      </c>
      <c r="I11" t="s">
        <v>24</v>
      </c>
      <c r="J11">
        <f t="shared" si="0"/>
        <v>46083</v>
      </c>
      <c r="K11" s="4">
        <f t="shared" ca="1" si="1"/>
        <v>260</v>
      </c>
      <c r="L11" t="str">
        <f t="shared" si="2"/>
        <v>Monday</v>
      </c>
      <c r="M11">
        <f t="shared" si="3"/>
        <v>2550</v>
      </c>
      <c r="N11" s="3">
        <f t="shared" si="4"/>
        <v>43835</v>
      </c>
      <c r="O11" s="3">
        <f t="shared" si="5"/>
        <v>1370</v>
      </c>
      <c r="P11" s="3">
        <f t="shared" si="6"/>
        <v>5100</v>
      </c>
      <c r="Q11" s="3">
        <f t="shared" si="7"/>
        <v>100</v>
      </c>
      <c r="R11" s="2">
        <f t="shared" si="8"/>
        <v>46114</v>
      </c>
      <c r="S11" s="3" t="str">
        <f t="shared" si="9"/>
        <v>February</v>
      </c>
    </row>
    <row r="12" spans="1:19">
      <c r="A12" t="s">
        <v>50</v>
      </c>
      <c r="B12" s="2">
        <v>46057</v>
      </c>
      <c r="C12" t="s">
        <v>26</v>
      </c>
      <c r="D12" t="s">
        <v>40</v>
      </c>
      <c r="E12" t="s">
        <v>38</v>
      </c>
      <c r="F12" t="s">
        <v>29</v>
      </c>
      <c r="G12">
        <v>7</v>
      </c>
      <c r="H12">
        <v>300</v>
      </c>
      <c r="I12" t="s">
        <v>24</v>
      </c>
      <c r="J12">
        <f t="shared" si="0"/>
        <v>46085</v>
      </c>
      <c r="K12" s="4">
        <f t="shared" ca="1" si="1"/>
        <v>258</v>
      </c>
      <c r="L12" t="str">
        <f t="shared" si="2"/>
        <v>Wednesday</v>
      </c>
      <c r="M12">
        <f t="shared" si="3"/>
        <v>2100</v>
      </c>
      <c r="N12" s="3">
        <f t="shared" si="4"/>
        <v>41285</v>
      </c>
      <c r="O12" s="3">
        <f t="shared" si="5"/>
        <v>1332</v>
      </c>
      <c r="P12" s="3">
        <f t="shared" si="6"/>
        <v>5100</v>
      </c>
      <c r="Q12" s="3">
        <f t="shared" si="7"/>
        <v>100</v>
      </c>
      <c r="R12" s="2">
        <f t="shared" si="8"/>
        <v>46116</v>
      </c>
      <c r="S12" s="3" t="str">
        <f t="shared" si="9"/>
        <v>February</v>
      </c>
    </row>
    <row r="13" spans="1:19">
      <c r="A13" t="s">
        <v>51</v>
      </c>
      <c r="B13" s="2">
        <v>46060</v>
      </c>
      <c r="C13" t="s">
        <v>31</v>
      </c>
      <c r="D13" t="s">
        <v>21</v>
      </c>
      <c r="E13" t="s">
        <v>33</v>
      </c>
      <c r="F13" t="s">
        <v>23</v>
      </c>
      <c r="G13">
        <v>5</v>
      </c>
      <c r="H13">
        <v>250</v>
      </c>
      <c r="I13" t="s">
        <v>34</v>
      </c>
      <c r="J13">
        <f t="shared" si="0"/>
        <v>46088</v>
      </c>
      <c r="K13" s="4">
        <f t="shared" ca="1" si="1"/>
        <v>255</v>
      </c>
      <c r="L13" t="str">
        <f t="shared" si="2"/>
        <v>Saturday</v>
      </c>
      <c r="M13">
        <f t="shared" si="3"/>
        <v>1250</v>
      </c>
      <c r="N13" s="3">
        <f t="shared" si="4"/>
        <v>39185</v>
      </c>
      <c r="O13" s="3">
        <f t="shared" si="5"/>
        <v>1306</v>
      </c>
      <c r="P13" s="3">
        <f t="shared" si="6"/>
        <v>5100</v>
      </c>
      <c r="Q13" s="3">
        <f t="shared" si="7"/>
        <v>100</v>
      </c>
      <c r="R13" s="2">
        <f t="shared" si="8"/>
        <v>46119</v>
      </c>
      <c r="S13" s="3" t="str">
        <f t="shared" si="9"/>
        <v>February</v>
      </c>
    </row>
    <row r="14" spans="1:19">
      <c r="A14" t="s">
        <v>52</v>
      </c>
      <c r="B14" s="2">
        <v>46063</v>
      </c>
      <c r="C14" t="s">
        <v>36</v>
      </c>
      <c r="D14" t="s">
        <v>27</v>
      </c>
      <c r="E14" t="s">
        <v>41</v>
      </c>
      <c r="F14" t="s">
        <v>42</v>
      </c>
      <c r="G14">
        <v>40</v>
      </c>
      <c r="H14">
        <v>8</v>
      </c>
      <c r="I14" t="s">
        <v>24</v>
      </c>
      <c r="J14">
        <f t="shared" si="0"/>
        <v>46091</v>
      </c>
      <c r="K14" s="4">
        <f t="shared" ca="1" si="1"/>
        <v>252</v>
      </c>
      <c r="L14" t="str">
        <f t="shared" si="2"/>
        <v>Tuesday</v>
      </c>
      <c r="M14">
        <f t="shared" si="3"/>
        <v>320</v>
      </c>
      <c r="N14" s="3">
        <f t="shared" si="4"/>
        <v>37935</v>
      </c>
      <c r="O14" s="3">
        <f t="shared" si="5"/>
        <v>1308</v>
      </c>
      <c r="P14" s="3">
        <f t="shared" si="6"/>
        <v>5100</v>
      </c>
      <c r="Q14" s="3">
        <f t="shared" si="7"/>
        <v>100</v>
      </c>
      <c r="R14" s="2">
        <f t="shared" si="8"/>
        <v>46122</v>
      </c>
      <c r="S14" s="3" t="str">
        <f t="shared" si="9"/>
        <v>February</v>
      </c>
    </row>
    <row r="15" spans="1:19">
      <c r="A15" t="s">
        <v>53</v>
      </c>
      <c r="B15" s="2">
        <v>46066</v>
      </c>
      <c r="C15" t="s">
        <v>20</v>
      </c>
      <c r="D15" t="s">
        <v>32</v>
      </c>
      <c r="E15" t="s">
        <v>44</v>
      </c>
      <c r="F15" t="s">
        <v>23</v>
      </c>
      <c r="G15">
        <v>6</v>
      </c>
      <c r="H15">
        <v>220</v>
      </c>
      <c r="I15" t="s">
        <v>24</v>
      </c>
      <c r="J15">
        <f t="shared" si="0"/>
        <v>46094</v>
      </c>
      <c r="K15" s="4">
        <f t="shared" ca="1" si="1"/>
        <v>249</v>
      </c>
      <c r="L15" t="str">
        <f t="shared" si="2"/>
        <v>Friday</v>
      </c>
      <c r="M15">
        <f t="shared" si="3"/>
        <v>1320</v>
      </c>
      <c r="N15" s="3">
        <f t="shared" si="4"/>
        <v>37615</v>
      </c>
      <c r="O15" s="3">
        <f t="shared" si="5"/>
        <v>1343</v>
      </c>
      <c r="P15" s="3">
        <f t="shared" si="6"/>
        <v>5100</v>
      </c>
      <c r="Q15" s="3">
        <f t="shared" si="7"/>
        <v>100</v>
      </c>
      <c r="R15" s="2">
        <f t="shared" si="8"/>
        <v>46125</v>
      </c>
      <c r="S15" s="3" t="str">
        <f t="shared" si="9"/>
        <v>February</v>
      </c>
    </row>
    <row r="16" spans="1:19">
      <c r="A16" t="s">
        <v>54</v>
      </c>
      <c r="B16" s="2">
        <v>46069</v>
      </c>
      <c r="C16" t="s">
        <v>26</v>
      </c>
      <c r="D16" t="s">
        <v>37</v>
      </c>
      <c r="E16" t="s">
        <v>28</v>
      </c>
      <c r="F16" t="s">
        <v>29</v>
      </c>
      <c r="G16">
        <v>15</v>
      </c>
      <c r="H16">
        <v>120</v>
      </c>
      <c r="I16" t="s">
        <v>45</v>
      </c>
      <c r="J16">
        <f t="shared" si="0"/>
        <v>46097</v>
      </c>
      <c r="K16" s="4">
        <f t="shared" ca="1" si="1"/>
        <v>246</v>
      </c>
      <c r="L16" t="str">
        <f t="shared" si="2"/>
        <v>Monday</v>
      </c>
      <c r="M16">
        <f t="shared" si="3"/>
        <v>1800</v>
      </c>
      <c r="N16" s="3">
        <f t="shared" si="4"/>
        <v>36295</v>
      </c>
      <c r="O16" s="3">
        <f t="shared" si="5"/>
        <v>1344</v>
      </c>
      <c r="P16" s="3">
        <f t="shared" si="6"/>
        <v>5100</v>
      </c>
      <c r="Q16" s="3">
        <f t="shared" si="7"/>
        <v>100</v>
      </c>
      <c r="R16" s="2">
        <f t="shared" si="8"/>
        <v>46128</v>
      </c>
      <c r="S16" s="3" t="str">
        <f t="shared" si="9"/>
        <v>February</v>
      </c>
    </row>
    <row r="17" spans="1:19">
      <c r="A17" t="s">
        <v>55</v>
      </c>
      <c r="B17" s="2">
        <v>46072</v>
      </c>
      <c r="C17" t="s">
        <v>31</v>
      </c>
      <c r="D17" t="s">
        <v>40</v>
      </c>
      <c r="E17" t="s">
        <v>48</v>
      </c>
      <c r="F17" t="s">
        <v>42</v>
      </c>
      <c r="G17">
        <v>20</v>
      </c>
      <c r="H17">
        <v>5</v>
      </c>
      <c r="I17" t="s">
        <v>24</v>
      </c>
      <c r="J17">
        <f t="shared" si="0"/>
        <v>46100</v>
      </c>
      <c r="K17" s="4">
        <f t="shared" ca="1" si="1"/>
        <v>243</v>
      </c>
      <c r="L17" t="str">
        <f t="shared" si="2"/>
        <v>Thursday</v>
      </c>
      <c r="M17">
        <f t="shared" si="3"/>
        <v>100</v>
      </c>
      <c r="N17" s="3">
        <f t="shared" si="4"/>
        <v>34495</v>
      </c>
      <c r="O17" s="3">
        <f t="shared" si="5"/>
        <v>1327</v>
      </c>
      <c r="P17" s="3">
        <f t="shared" si="6"/>
        <v>5100</v>
      </c>
      <c r="Q17" s="3">
        <f t="shared" si="7"/>
        <v>100</v>
      </c>
      <c r="R17" s="2">
        <f t="shared" si="8"/>
        <v>46131</v>
      </c>
      <c r="S17" s="3" t="str">
        <f t="shared" si="9"/>
        <v>February</v>
      </c>
    </row>
    <row r="18" spans="1:19">
      <c r="A18" t="s">
        <v>56</v>
      </c>
      <c r="B18" s="2">
        <v>46075</v>
      </c>
      <c r="C18" t="s">
        <v>36</v>
      </c>
      <c r="D18" t="s">
        <v>21</v>
      </c>
      <c r="E18" t="s">
        <v>22</v>
      </c>
      <c r="F18" t="s">
        <v>23</v>
      </c>
      <c r="G18">
        <v>4</v>
      </c>
      <c r="H18">
        <v>850</v>
      </c>
      <c r="I18" t="s">
        <v>34</v>
      </c>
      <c r="J18">
        <f t="shared" si="0"/>
        <v>46103</v>
      </c>
      <c r="K18" s="4">
        <f t="shared" ca="1" si="1"/>
        <v>240</v>
      </c>
      <c r="L18" t="str">
        <f t="shared" si="2"/>
        <v>Sunday</v>
      </c>
      <c r="M18">
        <f t="shared" si="3"/>
        <v>3400</v>
      </c>
      <c r="N18" s="3">
        <f t="shared" si="4"/>
        <v>34395</v>
      </c>
      <c r="O18" s="3">
        <f t="shared" si="5"/>
        <v>1376</v>
      </c>
      <c r="P18" s="3">
        <f t="shared" si="6"/>
        <v>5100</v>
      </c>
      <c r="Q18" s="3">
        <f t="shared" si="7"/>
        <v>160</v>
      </c>
      <c r="R18" s="2">
        <f t="shared" si="8"/>
        <v>46134</v>
      </c>
      <c r="S18" s="3" t="str">
        <f t="shared" si="9"/>
        <v>February</v>
      </c>
    </row>
    <row r="19" spans="1:19">
      <c r="A19" t="s">
        <v>57</v>
      </c>
      <c r="B19" s="2">
        <v>46078</v>
      </c>
      <c r="C19" t="s">
        <v>20</v>
      </c>
      <c r="D19" t="s">
        <v>27</v>
      </c>
      <c r="E19" t="s">
        <v>38</v>
      </c>
      <c r="F19" t="s">
        <v>29</v>
      </c>
      <c r="G19">
        <v>3</v>
      </c>
      <c r="H19">
        <v>300</v>
      </c>
      <c r="I19" t="s">
        <v>24</v>
      </c>
      <c r="J19">
        <f t="shared" si="0"/>
        <v>46106</v>
      </c>
      <c r="K19" s="4">
        <f t="shared" ca="1" si="1"/>
        <v>237</v>
      </c>
      <c r="L19" t="str">
        <f t="shared" si="2"/>
        <v>Wednesday</v>
      </c>
      <c r="M19">
        <f t="shared" si="3"/>
        <v>900</v>
      </c>
      <c r="N19" s="3">
        <f t="shared" si="4"/>
        <v>30995</v>
      </c>
      <c r="O19" s="3">
        <f t="shared" si="5"/>
        <v>1291</v>
      </c>
      <c r="P19" s="3">
        <f t="shared" si="6"/>
        <v>5100</v>
      </c>
      <c r="Q19" s="3">
        <f t="shared" si="7"/>
        <v>160</v>
      </c>
      <c r="R19" s="2">
        <f t="shared" si="8"/>
        <v>46137</v>
      </c>
      <c r="S19" s="3" t="str">
        <f t="shared" si="9"/>
        <v>February</v>
      </c>
    </row>
    <row r="20" spans="1:19">
      <c r="A20" t="s">
        <v>58</v>
      </c>
      <c r="B20" s="2">
        <v>46080</v>
      </c>
      <c r="C20" t="s">
        <v>26</v>
      </c>
      <c r="D20" t="s">
        <v>32</v>
      </c>
      <c r="E20" t="s">
        <v>44</v>
      </c>
      <c r="F20" t="s">
        <v>23</v>
      </c>
      <c r="G20">
        <v>9</v>
      </c>
      <c r="H20">
        <v>220</v>
      </c>
      <c r="I20" t="s">
        <v>24</v>
      </c>
      <c r="J20">
        <f t="shared" si="0"/>
        <v>46108</v>
      </c>
      <c r="K20" s="4">
        <f t="shared" ca="1" si="1"/>
        <v>235</v>
      </c>
      <c r="L20" t="str">
        <f t="shared" si="2"/>
        <v>Friday</v>
      </c>
      <c r="M20">
        <f t="shared" si="3"/>
        <v>1980</v>
      </c>
      <c r="N20" s="3">
        <f t="shared" si="4"/>
        <v>30095</v>
      </c>
      <c r="O20" s="3">
        <f t="shared" si="5"/>
        <v>1308</v>
      </c>
      <c r="P20" s="3">
        <f t="shared" si="6"/>
        <v>5100</v>
      </c>
      <c r="Q20" s="3">
        <f t="shared" si="7"/>
        <v>160</v>
      </c>
      <c r="R20" s="2">
        <f t="shared" si="8"/>
        <v>46139</v>
      </c>
      <c r="S20" s="3" t="str">
        <f t="shared" si="9"/>
        <v>February</v>
      </c>
    </row>
    <row r="21" spans="1:19">
      <c r="A21" t="s">
        <v>59</v>
      </c>
      <c r="B21" s="2">
        <v>46084</v>
      </c>
      <c r="C21" t="s">
        <v>31</v>
      </c>
      <c r="D21" t="s">
        <v>37</v>
      </c>
      <c r="E21" t="s">
        <v>41</v>
      </c>
      <c r="F21" t="s">
        <v>42</v>
      </c>
      <c r="G21">
        <v>35</v>
      </c>
      <c r="H21">
        <v>8</v>
      </c>
      <c r="I21" t="s">
        <v>24</v>
      </c>
      <c r="J21">
        <f t="shared" si="0"/>
        <v>46115</v>
      </c>
      <c r="K21" s="4">
        <f t="shared" ca="1" si="1"/>
        <v>231</v>
      </c>
      <c r="L21" t="str">
        <f t="shared" si="2"/>
        <v>Tuesday</v>
      </c>
      <c r="M21">
        <f t="shared" si="3"/>
        <v>280</v>
      </c>
      <c r="N21" s="3">
        <f t="shared" si="4"/>
        <v>28115</v>
      </c>
      <c r="O21" s="3">
        <f t="shared" si="5"/>
        <v>1278</v>
      </c>
      <c r="P21" s="3">
        <f t="shared" si="6"/>
        <v>5100</v>
      </c>
      <c r="Q21" s="3">
        <f t="shared" si="7"/>
        <v>160</v>
      </c>
      <c r="R21" s="2">
        <f t="shared" si="8"/>
        <v>46145</v>
      </c>
      <c r="S21" s="3" t="str">
        <f t="shared" si="9"/>
        <v>March</v>
      </c>
    </row>
    <row r="22" spans="1:19">
      <c r="A22" t="s">
        <v>60</v>
      </c>
      <c r="B22" s="2">
        <v>46086</v>
      </c>
      <c r="C22" t="s">
        <v>36</v>
      </c>
      <c r="D22" t="s">
        <v>40</v>
      </c>
      <c r="E22" t="s">
        <v>33</v>
      </c>
      <c r="F22" t="s">
        <v>23</v>
      </c>
      <c r="G22">
        <v>7</v>
      </c>
      <c r="H22">
        <v>250</v>
      </c>
      <c r="I22" t="s">
        <v>45</v>
      </c>
      <c r="J22">
        <f t="shared" si="0"/>
        <v>46117</v>
      </c>
      <c r="K22" s="4">
        <f t="shared" ca="1" si="1"/>
        <v>229</v>
      </c>
      <c r="L22" t="str">
        <f t="shared" si="2"/>
        <v>Thursday</v>
      </c>
      <c r="M22">
        <f t="shared" si="3"/>
        <v>1750</v>
      </c>
      <c r="N22" s="3">
        <f t="shared" si="4"/>
        <v>27835</v>
      </c>
      <c r="O22" s="3">
        <f t="shared" si="5"/>
        <v>1325</v>
      </c>
      <c r="P22" s="3">
        <f t="shared" si="6"/>
        <v>5100</v>
      </c>
      <c r="Q22" s="3">
        <f t="shared" si="7"/>
        <v>160</v>
      </c>
      <c r="R22" s="2">
        <f t="shared" si="8"/>
        <v>46147</v>
      </c>
      <c r="S22" s="3" t="str">
        <f t="shared" si="9"/>
        <v>March</v>
      </c>
    </row>
    <row r="23" spans="1:19">
      <c r="A23" t="s">
        <v>61</v>
      </c>
      <c r="B23" s="2">
        <v>46089</v>
      </c>
      <c r="C23" t="s">
        <v>20</v>
      </c>
      <c r="D23" t="s">
        <v>21</v>
      </c>
      <c r="E23" t="s">
        <v>28</v>
      </c>
      <c r="F23" t="s">
        <v>29</v>
      </c>
      <c r="G23">
        <v>8</v>
      </c>
      <c r="H23">
        <v>120</v>
      </c>
      <c r="I23" t="s">
        <v>24</v>
      </c>
      <c r="J23">
        <f t="shared" si="0"/>
        <v>46120</v>
      </c>
      <c r="K23" s="4">
        <f t="shared" ca="1" si="1"/>
        <v>226</v>
      </c>
      <c r="L23" t="str">
        <f t="shared" si="2"/>
        <v>Sunday</v>
      </c>
      <c r="M23">
        <f t="shared" si="3"/>
        <v>960</v>
      </c>
      <c r="N23" s="3">
        <f t="shared" si="4"/>
        <v>26085</v>
      </c>
      <c r="O23" s="3">
        <f t="shared" si="5"/>
        <v>1304</v>
      </c>
      <c r="P23" s="3">
        <f t="shared" si="6"/>
        <v>5100</v>
      </c>
      <c r="Q23" s="3">
        <f t="shared" si="7"/>
        <v>160</v>
      </c>
      <c r="R23" s="2">
        <f t="shared" si="8"/>
        <v>46150</v>
      </c>
      <c r="S23" s="3" t="str">
        <f t="shared" si="9"/>
        <v>March</v>
      </c>
    </row>
    <row r="24" spans="1:19">
      <c r="A24" t="s">
        <v>62</v>
      </c>
      <c r="B24" s="2">
        <v>46091</v>
      </c>
      <c r="C24" t="s">
        <v>26</v>
      </c>
      <c r="D24" t="s">
        <v>27</v>
      </c>
      <c r="E24" t="s">
        <v>48</v>
      </c>
      <c r="F24" t="s">
        <v>42</v>
      </c>
      <c r="G24">
        <v>45</v>
      </c>
      <c r="H24">
        <v>5</v>
      </c>
      <c r="I24" t="s">
        <v>34</v>
      </c>
      <c r="J24">
        <f t="shared" si="0"/>
        <v>46122</v>
      </c>
      <c r="K24" s="4">
        <f t="shared" ca="1" si="1"/>
        <v>224</v>
      </c>
      <c r="L24" t="str">
        <f t="shared" si="2"/>
        <v>Tuesday</v>
      </c>
      <c r="M24">
        <f t="shared" si="3"/>
        <v>225</v>
      </c>
      <c r="N24" s="3">
        <f t="shared" si="4"/>
        <v>25125</v>
      </c>
      <c r="O24" s="3">
        <f t="shared" si="5"/>
        <v>1322</v>
      </c>
      <c r="P24" s="3">
        <f t="shared" si="6"/>
        <v>5100</v>
      </c>
      <c r="Q24" s="3">
        <f t="shared" si="7"/>
        <v>160</v>
      </c>
      <c r="R24" s="2">
        <f t="shared" si="8"/>
        <v>46152</v>
      </c>
      <c r="S24" s="3" t="str">
        <f t="shared" si="9"/>
        <v>March</v>
      </c>
    </row>
    <row r="25" spans="1:19">
      <c r="A25" t="s">
        <v>63</v>
      </c>
      <c r="B25" s="2">
        <v>46094</v>
      </c>
      <c r="C25" t="s">
        <v>31</v>
      </c>
      <c r="D25" t="s">
        <v>32</v>
      </c>
      <c r="E25" t="s">
        <v>22</v>
      </c>
      <c r="F25" t="s">
        <v>23</v>
      </c>
      <c r="G25">
        <v>2</v>
      </c>
      <c r="H25">
        <v>850</v>
      </c>
      <c r="I25" t="s">
        <v>24</v>
      </c>
      <c r="J25">
        <f t="shared" si="0"/>
        <v>46125</v>
      </c>
      <c r="K25" s="4">
        <f t="shared" ca="1" si="1"/>
        <v>221</v>
      </c>
      <c r="L25" t="str">
        <f t="shared" si="2"/>
        <v>Friday</v>
      </c>
      <c r="M25">
        <f t="shared" si="3"/>
        <v>1700</v>
      </c>
      <c r="N25" s="3">
        <f t="shared" si="4"/>
        <v>24900</v>
      </c>
      <c r="O25" s="3">
        <f t="shared" si="5"/>
        <v>1383</v>
      </c>
      <c r="P25" s="3">
        <f t="shared" si="6"/>
        <v>5100</v>
      </c>
      <c r="Q25" s="3">
        <f t="shared" si="7"/>
        <v>160</v>
      </c>
      <c r="R25" s="2">
        <f t="shared" si="8"/>
        <v>46155</v>
      </c>
      <c r="S25" s="3" t="str">
        <f t="shared" si="9"/>
        <v>March</v>
      </c>
    </row>
    <row r="26" spans="1:19">
      <c r="A26" t="s">
        <v>64</v>
      </c>
      <c r="B26" s="2">
        <v>46097</v>
      </c>
      <c r="C26" t="s">
        <v>36</v>
      </c>
      <c r="D26" t="s">
        <v>37</v>
      </c>
      <c r="E26" t="s">
        <v>38</v>
      </c>
      <c r="F26" t="s">
        <v>29</v>
      </c>
      <c r="G26">
        <v>5</v>
      </c>
      <c r="H26">
        <v>300</v>
      </c>
      <c r="I26" t="s">
        <v>24</v>
      </c>
      <c r="J26">
        <f t="shared" si="0"/>
        <v>46128</v>
      </c>
      <c r="K26" s="4">
        <f t="shared" ca="1" si="1"/>
        <v>218</v>
      </c>
      <c r="L26" t="str">
        <f t="shared" si="2"/>
        <v>Monday</v>
      </c>
      <c r="M26">
        <f t="shared" si="3"/>
        <v>1500</v>
      </c>
      <c r="N26" s="3">
        <f t="shared" si="4"/>
        <v>23200</v>
      </c>
      <c r="O26" s="3">
        <f t="shared" si="5"/>
        <v>1365</v>
      </c>
      <c r="P26" s="3">
        <f t="shared" si="6"/>
        <v>5100</v>
      </c>
      <c r="Q26" s="3">
        <f t="shared" si="7"/>
        <v>160</v>
      </c>
      <c r="R26" s="2">
        <f t="shared" si="8"/>
        <v>46158</v>
      </c>
      <c r="S26" s="3" t="str">
        <f t="shared" si="9"/>
        <v>March</v>
      </c>
    </row>
    <row r="27" spans="1:19">
      <c r="A27" t="s">
        <v>65</v>
      </c>
      <c r="B27" s="2">
        <v>46100</v>
      </c>
      <c r="C27" t="s">
        <v>20</v>
      </c>
      <c r="D27" t="s">
        <v>40</v>
      </c>
      <c r="E27" t="s">
        <v>44</v>
      </c>
      <c r="F27" t="s">
        <v>23</v>
      </c>
      <c r="G27">
        <v>10</v>
      </c>
      <c r="H27">
        <v>220</v>
      </c>
      <c r="I27" t="s">
        <v>24</v>
      </c>
      <c r="J27">
        <f t="shared" si="0"/>
        <v>46131</v>
      </c>
      <c r="K27" s="4">
        <f t="shared" ca="1" si="1"/>
        <v>215</v>
      </c>
      <c r="L27" t="str">
        <f t="shared" si="2"/>
        <v>Thursday</v>
      </c>
      <c r="M27">
        <f t="shared" si="3"/>
        <v>2200</v>
      </c>
      <c r="N27" s="3">
        <f t="shared" si="4"/>
        <v>21700</v>
      </c>
      <c r="O27" s="3">
        <f t="shared" si="5"/>
        <v>1356</v>
      </c>
      <c r="P27" s="3">
        <f t="shared" si="6"/>
        <v>5100</v>
      </c>
      <c r="Q27" s="3">
        <f t="shared" si="7"/>
        <v>160</v>
      </c>
      <c r="R27" s="2">
        <f t="shared" si="8"/>
        <v>46161</v>
      </c>
      <c r="S27" s="3" t="str">
        <f t="shared" si="9"/>
        <v>March</v>
      </c>
    </row>
    <row r="28" spans="1:19">
      <c r="A28" t="s">
        <v>66</v>
      </c>
      <c r="B28" s="2">
        <v>46102</v>
      </c>
      <c r="C28" t="s">
        <v>26</v>
      </c>
      <c r="D28" t="s">
        <v>21</v>
      </c>
      <c r="E28" t="s">
        <v>41</v>
      </c>
      <c r="F28" t="s">
        <v>42</v>
      </c>
      <c r="G28">
        <v>28</v>
      </c>
      <c r="H28">
        <v>8</v>
      </c>
      <c r="I28" t="s">
        <v>45</v>
      </c>
      <c r="J28">
        <f t="shared" si="0"/>
        <v>46133</v>
      </c>
      <c r="K28" s="4">
        <f t="shared" ca="1" si="1"/>
        <v>213</v>
      </c>
      <c r="L28" t="str">
        <f t="shared" si="2"/>
        <v>Saturday</v>
      </c>
      <c r="M28">
        <f t="shared" si="3"/>
        <v>224</v>
      </c>
      <c r="N28" s="3">
        <f t="shared" si="4"/>
        <v>19500</v>
      </c>
      <c r="O28" s="3">
        <f t="shared" si="5"/>
        <v>1300</v>
      </c>
      <c r="P28" s="3">
        <f t="shared" si="6"/>
        <v>5100</v>
      </c>
      <c r="Q28" s="3">
        <f t="shared" si="7"/>
        <v>160</v>
      </c>
      <c r="R28" s="2">
        <f t="shared" si="8"/>
        <v>46163</v>
      </c>
      <c r="S28" s="3" t="str">
        <f t="shared" si="9"/>
        <v>March</v>
      </c>
    </row>
    <row r="29" spans="1:19">
      <c r="A29" t="s">
        <v>67</v>
      </c>
      <c r="B29" s="2">
        <v>46105</v>
      </c>
      <c r="C29" t="s">
        <v>31</v>
      </c>
      <c r="D29" t="s">
        <v>27</v>
      </c>
      <c r="E29" t="s">
        <v>28</v>
      </c>
      <c r="F29" t="s">
        <v>29</v>
      </c>
      <c r="G29">
        <v>11</v>
      </c>
      <c r="H29">
        <v>120</v>
      </c>
      <c r="I29" t="s">
        <v>24</v>
      </c>
      <c r="J29">
        <f t="shared" si="0"/>
        <v>46136</v>
      </c>
      <c r="K29" s="4">
        <f t="shared" ca="1" si="1"/>
        <v>210</v>
      </c>
      <c r="L29" t="str">
        <f t="shared" si="2"/>
        <v>Tuesday</v>
      </c>
      <c r="M29">
        <f t="shared" si="3"/>
        <v>1320</v>
      </c>
      <c r="N29" s="3">
        <f t="shared" si="4"/>
        <v>19276</v>
      </c>
      <c r="O29" s="3">
        <f t="shared" si="5"/>
        <v>1377</v>
      </c>
      <c r="P29" s="3">
        <f t="shared" si="6"/>
        <v>5100</v>
      </c>
      <c r="Q29" s="3">
        <f t="shared" si="7"/>
        <v>160</v>
      </c>
      <c r="R29" s="2">
        <f t="shared" si="8"/>
        <v>46166</v>
      </c>
      <c r="S29" s="3" t="str">
        <f t="shared" si="9"/>
        <v>March</v>
      </c>
    </row>
    <row r="30" spans="1:19">
      <c r="A30" t="s">
        <v>68</v>
      </c>
      <c r="B30" s="2">
        <v>46108</v>
      </c>
      <c r="C30" t="s">
        <v>36</v>
      </c>
      <c r="D30" t="s">
        <v>32</v>
      </c>
      <c r="E30" t="s">
        <v>33</v>
      </c>
      <c r="F30" t="s">
        <v>23</v>
      </c>
      <c r="G30">
        <v>3</v>
      </c>
      <c r="H30">
        <v>250</v>
      </c>
      <c r="I30" t="s">
        <v>34</v>
      </c>
      <c r="J30">
        <f t="shared" si="0"/>
        <v>46139</v>
      </c>
      <c r="K30" s="4">
        <f t="shared" ca="1" si="1"/>
        <v>207</v>
      </c>
      <c r="L30" t="str">
        <f t="shared" si="2"/>
        <v>Friday</v>
      </c>
      <c r="M30">
        <f t="shared" si="3"/>
        <v>750</v>
      </c>
      <c r="N30" s="3">
        <f t="shared" si="4"/>
        <v>17956</v>
      </c>
      <c r="O30" s="3">
        <f t="shared" si="5"/>
        <v>1381</v>
      </c>
      <c r="P30" s="3">
        <f t="shared" si="6"/>
        <v>5100</v>
      </c>
      <c r="Q30" s="3">
        <f t="shared" si="7"/>
        <v>160</v>
      </c>
      <c r="R30" s="2">
        <f t="shared" si="8"/>
        <v>46169</v>
      </c>
      <c r="S30" s="3" t="str">
        <f t="shared" si="9"/>
        <v>March</v>
      </c>
    </row>
    <row r="31" spans="1:19">
      <c r="A31" t="s">
        <v>69</v>
      </c>
      <c r="B31" s="2">
        <v>46114</v>
      </c>
      <c r="C31" t="s">
        <v>20</v>
      </c>
      <c r="D31" t="s">
        <v>37</v>
      </c>
      <c r="E31" t="s">
        <v>48</v>
      </c>
      <c r="F31" t="s">
        <v>42</v>
      </c>
      <c r="G31">
        <v>32</v>
      </c>
      <c r="H31">
        <v>5</v>
      </c>
      <c r="I31" t="s">
        <v>24</v>
      </c>
      <c r="J31">
        <f t="shared" si="0"/>
        <v>46144</v>
      </c>
      <c r="K31" s="4">
        <f t="shared" ca="1" si="1"/>
        <v>201</v>
      </c>
      <c r="L31" t="str">
        <f t="shared" si="2"/>
        <v>Thursday</v>
      </c>
      <c r="M31">
        <f t="shared" si="3"/>
        <v>160</v>
      </c>
      <c r="N31" s="3">
        <f t="shared" si="4"/>
        <v>17206</v>
      </c>
      <c r="O31" s="3">
        <f t="shared" si="5"/>
        <v>1434</v>
      </c>
      <c r="P31" s="3">
        <f t="shared" si="6"/>
        <v>5100</v>
      </c>
      <c r="Q31" s="3">
        <f t="shared" si="7"/>
        <v>160</v>
      </c>
      <c r="R31" s="2">
        <f t="shared" si="8"/>
        <v>46175</v>
      </c>
      <c r="S31" s="3" t="str">
        <f t="shared" si="9"/>
        <v>April</v>
      </c>
    </row>
    <row r="32" spans="1:19">
      <c r="A32" t="s">
        <v>70</v>
      </c>
      <c r="B32" s="2">
        <v>46116</v>
      </c>
      <c r="C32" t="s">
        <v>26</v>
      </c>
      <c r="D32" t="s">
        <v>40</v>
      </c>
      <c r="E32" t="s">
        <v>22</v>
      </c>
      <c r="F32" t="s">
        <v>23</v>
      </c>
      <c r="G32">
        <v>6</v>
      </c>
      <c r="H32">
        <v>850</v>
      </c>
      <c r="I32" t="s">
        <v>24</v>
      </c>
      <c r="J32">
        <f t="shared" si="0"/>
        <v>46146</v>
      </c>
      <c r="K32" s="4">
        <f t="shared" ca="1" si="1"/>
        <v>199</v>
      </c>
      <c r="L32" t="str">
        <f t="shared" si="2"/>
        <v>Saturday</v>
      </c>
      <c r="M32">
        <f t="shared" si="3"/>
        <v>5100</v>
      </c>
      <c r="N32" s="3">
        <f t="shared" si="4"/>
        <v>17046</v>
      </c>
      <c r="O32" s="3">
        <f t="shared" si="5"/>
        <v>1550</v>
      </c>
      <c r="P32" s="3">
        <f t="shared" si="6"/>
        <v>5100</v>
      </c>
      <c r="Q32" s="3">
        <f t="shared" si="7"/>
        <v>176</v>
      </c>
      <c r="R32" s="2">
        <f t="shared" si="8"/>
        <v>46177</v>
      </c>
      <c r="S32" s="3" t="str">
        <f t="shared" si="9"/>
        <v>April</v>
      </c>
    </row>
    <row r="33" spans="1:19">
      <c r="A33" t="s">
        <v>71</v>
      </c>
      <c r="B33" s="2">
        <v>46119</v>
      </c>
      <c r="C33" t="s">
        <v>31</v>
      </c>
      <c r="D33" t="s">
        <v>21</v>
      </c>
      <c r="E33" t="s">
        <v>38</v>
      </c>
      <c r="F33" t="s">
        <v>29</v>
      </c>
      <c r="G33">
        <v>4</v>
      </c>
      <c r="H33">
        <v>300</v>
      </c>
      <c r="I33" t="s">
        <v>34</v>
      </c>
      <c r="J33">
        <f t="shared" si="0"/>
        <v>46149</v>
      </c>
      <c r="K33" s="4">
        <f t="shared" ca="1" si="1"/>
        <v>196</v>
      </c>
      <c r="L33" t="str">
        <f t="shared" si="2"/>
        <v>Tuesday</v>
      </c>
      <c r="M33">
        <f t="shared" si="3"/>
        <v>1200</v>
      </c>
      <c r="N33" s="3">
        <f t="shared" si="4"/>
        <v>11946</v>
      </c>
      <c r="O33" s="3">
        <f t="shared" si="5"/>
        <v>1195</v>
      </c>
      <c r="P33" s="3">
        <f t="shared" si="6"/>
        <v>2550</v>
      </c>
      <c r="Q33" s="3">
        <f t="shared" si="7"/>
        <v>176</v>
      </c>
      <c r="R33" s="2">
        <f t="shared" si="8"/>
        <v>46180</v>
      </c>
      <c r="S33" s="3" t="str">
        <f t="shared" si="9"/>
        <v>April</v>
      </c>
    </row>
    <row r="34" spans="1:19">
      <c r="A34" t="s">
        <v>72</v>
      </c>
      <c r="B34" s="2">
        <v>46122</v>
      </c>
      <c r="C34" t="s">
        <v>36</v>
      </c>
      <c r="D34" t="s">
        <v>27</v>
      </c>
      <c r="E34" t="s">
        <v>44</v>
      </c>
      <c r="F34" t="s">
        <v>23</v>
      </c>
      <c r="G34">
        <v>7</v>
      </c>
      <c r="H34">
        <v>220</v>
      </c>
      <c r="I34" t="s">
        <v>24</v>
      </c>
      <c r="J34">
        <f t="shared" si="0"/>
        <v>46152</v>
      </c>
      <c r="K34" s="4">
        <f t="shared" ca="1" si="1"/>
        <v>193</v>
      </c>
      <c r="L34" t="str">
        <f t="shared" si="2"/>
        <v>Friday</v>
      </c>
      <c r="M34">
        <f t="shared" si="3"/>
        <v>1540</v>
      </c>
      <c r="N34" s="3">
        <f t="shared" si="4"/>
        <v>10746</v>
      </c>
      <c r="O34" s="3">
        <f t="shared" si="5"/>
        <v>1194</v>
      </c>
      <c r="P34" s="3">
        <f t="shared" si="6"/>
        <v>2550</v>
      </c>
      <c r="Q34" s="3">
        <f t="shared" si="7"/>
        <v>176</v>
      </c>
      <c r="R34" s="2">
        <f t="shared" si="8"/>
        <v>46183</v>
      </c>
      <c r="S34" s="3" t="str">
        <f t="shared" si="9"/>
        <v>April</v>
      </c>
    </row>
    <row r="35" spans="1:19">
      <c r="A35" t="s">
        <v>73</v>
      </c>
      <c r="B35" s="2">
        <v>46125</v>
      </c>
      <c r="C35" t="s">
        <v>20</v>
      </c>
      <c r="D35" t="s">
        <v>32</v>
      </c>
      <c r="E35" t="s">
        <v>41</v>
      </c>
      <c r="F35" t="s">
        <v>42</v>
      </c>
      <c r="G35">
        <v>22</v>
      </c>
      <c r="H35">
        <v>8</v>
      </c>
      <c r="I35" t="s">
        <v>24</v>
      </c>
      <c r="J35">
        <f t="shared" si="0"/>
        <v>46155</v>
      </c>
      <c r="K35" s="4">
        <f t="shared" ca="1" si="1"/>
        <v>190</v>
      </c>
      <c r="L35" t="str">
        <f t="shared" si="2"/>
        <v>Monday</v>
      </c>
      <c r="M35">
        <f t="shared" si="3"/>
        <v>176</v>
      </c>
      <c r="N35" s="3">
        <f t="shared" si="4"/>
        <v>9206</v>
      </c>
      <c r="O35" s="3">
        <f t="shared" si="5"/>
        <v>1151</v>
      </c>
      <c r="P35" s="3">
        <f t="shared" si="6"/>
        <v>2550</v>
      </c>
      <c r="Q35" s="3">
        <f t="shared" si="7"/>
        <v>176</v>
      </c>
      <c r="R35" s="2">
        <f t="shared" si="8"/>
        <v>46186</v>
      </c>
      <c r="S35" s="3" t="str">
        <f t="shared" si="9"/>
        <v>April</v>
      </c>
    </row>
    <row r="36" spans="1:19">
      <c r="A36" t="s">
        <v>74</v>
      </c>
      <c r="B36" s="2">
        <v>46128</v>
      </c>
      <c r="C36" t="s">
        <v>26</v>
      </c>
      <c r="D36" t="s">
        <v>37</v>
      </c>
      <c r="E36" t="s">
        <v>33</v>
      </c>
      <c r="F36" t="s">
        <v>23</v>
      </c>
      <c r="G36">
        <v>5</v>
      </c>
      <c r="H36">
        <v>250</v>
      </c>
      <c r="I36" t="s">
        <v>45</v>
      </c>
      <c r="J36">
        <f t="shared" si="0"/>
        <v>46158</v>
      </c>
      <c r="K36" s="4">
        <f t="shared" ca="1" si="1"/>
        <v>187</v>
      </c>
      <c r="L36" t="str">
        <f t="shared" si="2"/>
        <v>Thursday</v>
      </c>
      <c r="M36">
        <f t="shared" si="3"/>
        <v>1250</v>
      </c>
      <c r="N36" s="3">
        <f t="shared" si="4"/>
        <v>9030</v>
      </c>
      <c r="O36" s="3">
        <f t="shared" si="5"/>
        <v>1290</v>
      </c>
      <c r="P36" s="3">
        <f t="shared" si="6"/>
        <v>2550</v>
      </c>
      <c r="Q36" s="3">
        <f t="shared" si="7"/>
        <v>190</v>
      </c>
      <c r="R36" s="2">
        <f t="shared" si="8"/>
        <v>46189</v>
      </c>
      <c r="S36" s="3" t="str">
        <f t="shared" si="9"/>
        <v>April</v>
      </c>
    </row>
    <row r="37" spans="1:19">
      <c r="A37" t="s">
        <v>75</v>
      </c>
      <c r="B37" s="2">
        <v>46131</v>
      </c>
      <c r="C37" t="s">
        <v>31</v>
      </c>
      <c r="D37" t="s">
        <v>40</v>
      </c>
      <c r="E37" t="s">
        <v>28</v>
      </c>
      <c r="F37" t="s">
        <v>29</v>
      </c>
      <c r="G37">
        <v>9</v>
      </c>
      <c r="H37">
        <v>120</v>
      </c>
      <c r="I37" t="s">
        <v>24</v>
      </c>
      <c r="J37">
        <f t="shared" si="0"/>
        <v>46161</v>
      </c>
      <c r="K37" s="4">
        <f t="shared" ca="1" si="1"/>
        <v>184</v>
      </c>
      <c r="L37" t="str">
        <f t="shared" si="2"/>
        <v>Sunday</v>
      </c>
      <c r="M37">
        <f t="shared" si="3"/>
        <v>1080</v>
      </c>
      <c r="N37" s="3">
        <f t="shared" si="4"/>
        <v>7780</v>
      </c>
      <c r="O37" s="3">
        <f t="shared" si="5"/>
        <v>1297</v>
      </c>
      <c r="P37" s="3">
        <f t="shared" si="6"/>
        <v>2550</v>
      </c>
      <c r="Q37" s="3">
        <f t="shared" si="7"/>
        <v>190</v>
      </c>
      <c r="R37" s="2">
        <f t="shared" si="8"/>
        <v>46192</v>
      </c>
      <c r="S37" s="3" t="str">
        <f t="shared" si="9"/>
        <v>April</v>
      </c>
    </row>
    <row r="38" spans="1:19">
      <c r="A38" t="s">
        <v>76</v>
      </c>
      <c r="B38" s="2">
        <v>46134</v>
      </c>
      <c r="C38" t="s">
        <v>36</v>
      </c>
      <c r="D38" t="s">
        <v>21</v>
      </c>
      <c r="E38" t="s">
        <v>48</v>
      </c>
      <c r="F38" t="s">
        <v>42</v>
      </c>
      <c r="G38">
        <v>38</v>
      </c>
      <c r="H38">
        <v>5</v>
      </c>
      <c r="I38" t="s">
        <v>24</v>
      </c>
      <c r="J38">
        <f t="shared" si="0"/>
        <v>46164</v>
      </c>
      <c r="K38" s="4">
        <f t="shared" ca="1" si="1"/>
        <v>181</v>
      </c>
      <c r="L38" t="str">
        <f t="shared" si="2"/>
        <v>Wednesday</v>
      </c>
      <c r="M38">
        <f t="shared" si="3"/>
        <v>190</v>
      </c>
      <c r="N38" s="3">
        <f t="shared" si="4"/>
        <v>6700</v>
      </c>
      <c r="O38" s="3">
        <f t="shared" si="5"/>
        <v>1340</v>
      </c>
      <c r="P38" s="3">
        <f t="shared" si="6"/>
        <v>2550</v>
      </c>
      <c r="Q38" s="3">
        <f t="shared" si="7"/>
        <v>190</v>
      </c>
      <c r="R38" s="2">
        <f t="shared" si="8"/>
        <v>46195</v>
      </c>
      <c r="S38" s="3" t="str">
        <f t="shared" si="9"/>
        <v>April</v>
      </c>
    </row>
    <row r="39" spans="1:19">
      <c r="A39" t="s">
        <v>77</v>
      </c>
      <c r="B39" s="2">
        <v>46137</v>
      </c>
      <c r="C39" t="s">
        <v>20</v>
      </c>
      <c r="D39" t="s">
        <v>27</v>
      </c>
      <c r="E39" t="s">
        <v>22</v>
      </c>
      <c r="F39" t="s">
        <v>23</v>
      </c>
      <c r="G39">
        <v>3</v>
      </c>
      <c r="H39">
        <v>850</v>
      </c>
      <c r="I39" t="s">
        <v>34</v>
      </c>
      <c r="J39">
        <f t="shared" si="0"/>
        <v>46167</v>
      </c>
      <c r="K39" s="4">
        <f t="shared" ca="1" si="1"/>
        <v>178</v>
      </c>
      <c r="L39" t="str">
        <f t="shared" si="2"/>
        <v>Saturday</v>
      </c>
      <c r="M39">
        <f t="shared" si="3"/>
        <v>2550</v>
      </c>
      <c r="N39" s="3">
        <f t="shared" si="4"/>
        <v>6510</v>
      </c>
      <c r="O39" s="3">
        <f t="shared" si="5"/>
        <v>1628</v>
      </c>
      <c r="P39" s="3">
        <f t="shared" si="6"/>
        <v>2550</v>
      </c>
      <c r="Q39" s="3">
        <f t="shared" si="7"/>
        <v>400</v>
      </c>
      <c r="R39" s="2">
        <f t="shared" si="8"/>
        <v>46198</v>
      </c>
      <c r="S39" s="3" t="str">
        <f t="shared" si="9"/>
        <v>April</v>
      </c>
    </row>
    <row r="40" spans="1:19">
      <c r="A40" t="s">
        <v>78</v>
      </c>
      <c r="B40" s="2">
        <v>46139</v>
      </c>
      <c r="C40" t="s">
        <v>26</v>
      </c>
      <c r="D40" t="s">
        <v>32</v>
      </c>
      <c r="E40" t="s">
        <v>38</v>
      </c>
      <c r="F40" t="s">
        <v>29</v>
      </c>
      <c r="G40">
        <v>6</v>
      </c>
      <c r="H40">
        <v>300</v>
      </c>
      <c r="I40" t="s">
        <v>24</v>
      </c>
      <c r="J40">
        <f t="shared" si="0"/>
        <v>46169</v>
      </c>
      <c r="K40" s="4">
        <f t="shared" ca="1" si="1"/>
        <v>176</v>
      </c>
      <c r="L40" t="str">
        <f t="shared" si="2"/>
        <v>Monday</v>
      </c>
      <c r="M40">
        <f t="shared" si="3"/>
        <v>1800</v>
      </c>
      <c r="N40" s="3">
        <f t="shared" si="4"/>
        <v>3960</v>
      </c>
      <c r="O40" s="3">
        <f t="shared" si="5"/>
        <v>1320</v>
      </c>
      <c r="P40" s="3">
        <f t="shared" si="6"/>
        <v>1800</v>
      </c>
      <c r="Q40" s="3">
        <f t="shared" si="7"/>
        <v>400</v>
      </c>
      <c r="R40" s="2">
        <f t="shared" si="8"/>
        <v>46200</v>
      </c>
      <c r="S40" s="3" t="str">
        <f t="shared" si="9"/>
        <v>April</v>
      </c>
    </row>
    <row r="41" spans="1:19">
      <c r="A41" t="s">
        <v>79</v>
      </c>
      <c r="B41" s="2">
        <v>46141</v>
      </c>
      <c r="C41" t="s">
        <v>31</v>
      </c>
      <c r="D41" t="s">
        <v>37</v>
      </c>
      <c r="E41" t="s">
        <v>44</v>
      </c>
      <c r="F41" t="s">
        <v>23</v>
      </c>
      <c r="G41">
        <v>8</v>
      </c>
      <c r="H41">
        <v>220</v>
      </c>
      <c r="I41" t="s">
        <v>24</v>
      </c>
      <c r="J41">
        <f t="shared" si="0"/>
        <v>46171</v>
      </c>
      <c r="K41" s="4">
        <f t="shared" ca="1" si="1"/>
        <v>174</v>
      </c>
      <c r="L41" t="str">
        <f t="shared" si="2"/>
        <v>Wednesday</v>
      </c>
      <c r="M41">
        <f t="shared" si="3"/>
        <v>1760</v>
      </c>
      <c r="N41" s="3">
        <f t="shared" si="4"/>
        <v>2160</v>
      </c>
      <c r="O41" s="3">
        <f t="shared" si="5"/>
        <v>1080</v>
      </c>
      <c r="P41" s="3">
        <f t="shared" si="6"/>
        <v>1760</v>
      </c>
      <c r="Q41" s="3">
        <f t="shared" si="7"/>
        <v>400</v>
      </c>
      <c r="R41" s="2">
        <f t="shared" si="8"/>
        <v>46202</v>
      </c>
      <c r="S41" s="3" t="str">
        <f t="shared" si="9"/>
        <v>April</v>
      </c>
    </row>
    <row r="42" spans="1:19">
      <c r="A42" t="s">
        <v>80</v>
      </c>
      <c r="B42" s="2">
        <v>46142</v>
      </c>
      <c r="C42" t="s">
        <v>36</v>
      </c>
      <c r="D42" t="s">
        <v>40</v>
      </c>
      <c r="E42" t="s">
        <v>41</v>
      </c>
      <c r="F42" t="s">
        <v>42</v>
      </c>
      <c r="G42">
        <v>50</v>
      </c>
      <c r="H42">
        <v>8</v>
      </c>
      <c r="I42" t="s">
        <v>45</v>
      </c>
      <c r="J42">
        <f t="shared" si="0"/>
        <v>46172</v>
      </c>
      <c r="K42" s="4">
        <f t="shared" ca="1" si="1"/>
        <v>173</v>
      </c>
      <c r="L42" t="str">
        <f t="shared" si="2"/>
        <v>Thursday</v>
      </c>
      <c r="M42">
        <f t="shared" si="3"/>
        <v>400</v>
      </c>
      <c r="N42" s="3">
        <f t="shared" si="4"/>
        <v>400</v>
      </c>
      <c r="O42" s="3">
        <f t="shared" si="5"/>
        <v>400</v>
      </c>
      <c r="P42" s="3">
        <f t="shared" si="6"/>
        <v>400</v>
      </c>
      <c r="Q42" s="3">
        <f t="shared" si="7"/>
        <v>400</v>
      </c>
      <c r="R42" s="2">
        <f t="shared" si="8"/>
        <v>46203</v>
      </c>
      <c r="S42" s="3" t="str">
        <f t="shared" si="9"/>
        <v>April</v>
      </c>
    </row>
  </sheetData>
  <conditionalFormatting sqref="I2:I42">
    <cfRule type="containsText" dxfId="13" priority="4" operator="containsText" text="Overdue">
      <formula>NOT(ISERROR(SEARCH("Overdue",I2)))</formula>
    </cfRule>
  </conditionalFormatting>
  <conditionalFormatting sqref="M3:M42">
    <cfRule type="cellIs" dxfId="12" priority="2" operator="greaterThan">
      <formula>1000</formula>
    </cfRule>
  </conditionalFormatting>
  <dataValidations count="2">
    <dataValidation type="list" allowBlank="1" showInputMessage="1" showErrorMessage="1" sqref="C3:C42" xr:uid="{D76BA280-CC10-48F7-B8C7-0F7148756C0A}">
      <formula1>"North,South,East,West"</formula1>
    </dataValidation>
    <dataValidation type="list" allowBlank="1" showInputMessage="1" showErrorMessage="1" sqref="I3:I42" xr:uid="{B80E107C-65F9-4A6B-B3E5-8D4A92021D1E}">
      <formula1>"Paid;Pending;Overdue"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AA77-4957-4B77-8429-1239220E9766}">
  <dimension ref="A3:B8"/>
  <sheetViews>
    <sheetView workbookViewId="0">
      <selection activeCell="C28" sqref="C28"/>
    </sheetView>
  </sheetViews>
  <sheetFormatPr defaultRowHeight="15"/>
  <cols>
    <col min="1" max="1" width="11.42578125" bestFit="1" customWidth="1"/>
    <col min="2" max="2" width="15.42578125" bestFit="1" customWidth="1"/>
    <col min="3" max="3" width="20.5703125" bestFit="1" customWidth="1"/>
  </cols>
  <sheetData>
    <row r="3" spans="1:2">
      <c r="A3" s="5" t="s">
        <v>2</v>
      </c>
      <c r="B3" t="s">
        <v>81</v>
      </c>
    </row>
    <row r="4" spans="1:2">
      <c r="A4" t="s">
        <v>31</v>
      </c>
      <c r="B4" s="3">
        <v>10890</v>
      </c>
    </row>
    <row r="5" spans="1:2">
      <c r="A5" t="s">
        <v>20</v>
      </c>
      <c r="B5" s="3">
        <v>15266</v>
      </c>
    </row>
    <row r="6" spans="1:2">
      <c r="A6" t="s">
        <v>26</v>
      </c>
      <c r="B6" s="3">
        <v>17679</v>
      </c>
    </row>
    <row r="7" spans="1:2">
      <c r="A7" t="s">
        <v>36</v>
      </c>
      <c r="B7" s="3">
        <v>11800</v>
      </c>
    </row>
    <row r="8" spans="1:2">
      <c r="A8" t="s">
        <v>82</v>
      </c>
      <c r="B8" s="3">
        <v>55635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2B61-7226-4E1B-82CD-31FCCC36686B}">
  <dimension ref="A3:B44"/>
  <sheetViews>
    <sheetView workbookViewId="0">
      <selection activeCell="B43" sqref="B43"/>
    </sheetView>
  </sheetViews>
  <sheetFormatPr defaultRowHeight="15"/>
  <cols>
    <col min="1" max="1" width="14" bestFit="1" customWidth="1"/>
    <col min="2" max="2" width="15.42578125" bestFit="1" customWidth="1"/>
  </cols>
  <sheetData>
    <row r="3" spans="1:2">
      <c r="A3" s="5" t="s">
        <v>1</v>
      </c>
      <c r="B3" t="s">
        <v>81</v>
      </c>
    </row>
    <row r="4" spans="1:2">
      <c r="A4" s="2">
        <v>46027</v>
      </c>
      <c r="B4" s="3">
        <v>4250</v>
      </c>
    </row>
    <row r="5" spans="1:2">
      <c r="A5" s="2">
        <v>46030</v>
      </c>
      <c r="B5" s="3">
        <v>1440</v>
      </c>
    </row>
    <row r="6" spans="1:2">
      <c r="A6" s="2">
        <v>46034</v>
      </c>
      <c r="B6" s="3">
        <v>1000</v>
      </c>
    </row>
    <row r="7" spans="1:2">
      <c r="A7" s="2">
        <v>46037</v>
      </c>
      <c r="B7" s="3">
        <v>1800</v>
      </c>
    </row>
    <row r="8" spans="1:2">
      <c r="A8" s="2">
        <v>46040</v>
      </c>
      <c r="B8" s="3">
        <v>200</v>
      </c>
    </row>
    <row r="9" spans="1:2">
      <c r="A9" s="2">
        <v>46043</v>
      </c>
      <c r="B9" s="3">
        <v>1760</v>
      </c>
    </row>
    <row r="10" spans="1:2">
      <c r="A10" s="2">
        <v>46046</v>
      </c>
      <c r="B10" s="3">
        <v>1200</v>
      </c>
    </row>
    <row r="11" spans="1:2">
      <c r="A11" s="2">
        <v>46049</v>
      </c>
      <c r="B11" s="3">
        <v>150</v>
      </c>
    </row>
    <row r="12" spans="1:2">
      <c r="A12" s="2">
        <v>46055</v>
      </c>
      <c r="B12" s="3">
        <v>2550</v>
      </c>
    </row>
    <row r="13" spans="1:2">
      <c r="A13" s="2">
        <v>46057</v>
      </c>
      <c r="B13" s="3">
        <v>2100</v>
      </c>
    </row>
    <row r="14" spans="1:2">
      <c r="A14" s="2">
        <v>46060</v>
      </c>
      <c r="B14" s="3">
        <v>1250</v>
      </c>
    </row>
    <row r="15" spans="1:2">
      <c r="A15" s="2">
        <v>46063</v>
      </c>
      <c r="B15" s="3">
        <v>320</v>
      </c>
    </row>
    <row r="16" spans="1:2">
      <c r="A16" s="2">
        <v>46066</v>
      </c>
      <c r="B16" s="3">
        <v>1320</v>
      </c>
    </row>
    <row r="17" spans="1:2">
      <c r="A17" s="2">
        <v>46069</v>
      </c>
      <c r="B17" s="3">
        <v>1800</v>
      </c>
    </row>
    <row r="18" spans="1:2">
      <c r="A18" s="2">
        <v>46072</v>
      </c>
      <c r="B18" s="3">
        <v>100</v>
      </c>
    </row>
    <row r="19" spans="1:2">
      <c r="A19" s="2">
        <v>46075</v>
      </c>
      <c r="B19" s="3">
        <v>3400</v>
      </c>
    </row>
    <row r="20" spans="1:2">
      <c r="A20" s="2">
        <v>46078</v>
      </c>
      <c r="B20" s="3">
        <v>900</v>
      </c>
    </row>
    <row r="21" spans="1:2">
      <c r="A21" s="2">
        <v>46080</v>
      </c>
      <c r="B21" s="3">
        <v>1980</v>
      </c>
    </row>
    <row r="22" spans="1:2">
      <c r="A22" s="2">
        <v>46084</v>
      </c>
      <c r="B22" s="3">
        <v>280</v>
      </c>
    </row>
    <row r="23" spans="1:2">
      <c r="A23" s="2">
        <v>46086</v>
      </c>
      <c r="B23" s="3">
        <v>1750</v>
      </c>
    </row>
    <row r="24" spans="1:2">
      <c r="A24" s="2">
        <v>46089</v>
      </c>
      <c r="B24" s="3">
        <v>960</v>
      </c>
    </row>
    <row r="25" spans="1:2">
      <c r="A25" s="2">
        <v>46091</v>
      </c>
      <c r="B25" s="3">
        <v>225</v>
      </c>
    </row>
    <row r="26" spans="1:2">
      <c r="A26" s="2">
        <v>46094</v>
      </c>
      <c r="B26" s="3">
        <v>1700</v>
      </c>
    </row>
    <row r="27" spans="1:2">
      <c r="A27" s="2">
        <v>46097</v>
      </c>
      <c r="B27" s="3">
        <v>1500</v>
      </c>
    </row>
    <row r="28" spans="1:2">
      <c r="A28" s="2">
        <v>46100</v>
      </c>
      <c r="B28" s="3">
        <v>2200</v>
      </c>
    </row>
    <row r="29" spans="1:2">
      <c r="A29" s="2">
        <v>46102</v>
      </c>
      <c r="B29" s="3">
        <v>224</v>
      </c>
    </row>
    <row r="30" spans="1:2">
      <c r="A30" s="2">
        <v>46105</v>
      </c>
      <c r="B30" s="3">
        <v>1320</v>
      </c>
    </row>
    <row r="31" spans="1:2">
      <c r="A31" s="2">
        <v>46108</v>
      </c>
      <c r="B31" s="3">
        <v>750</v>
      </c>
    </row>
    <row r="32" spans="1:2">
      <c r="A32" s="2">
        <v>46114</v>
      </c>
      <c r="B32" s="3">
        <v>160</v>
      </c>
    </row>
    <row r="33" spans="1:2">
      <c r="A33" s="2">
        <v>46116</v>
      </c>
      <c r="B33" s="3">
        <v>5100</v>
      </c>
    </row>
    <row r="34" spans="1:2">
      <c r="A34" s="2">
        <v>46119</v>
      </c>
      <c r="B34" s="3">
        <v>1200</v>
      </c>
    </row>
    <row r="35" spans="1:2">
      <c r="A35" s="2">
        <v>46122</v>
      </c>
      <c r="B35" s="3">
        <v>1540</v>
      </c>
    </row>
    <row r="36" spans="1:2">
      <c r="A36" s="2">
        <v>46125</v>
      </c>
      <c r="B36" s="3">
        <v>176</v>
      </c>
    </row>
    <row r="37" spans="1:2">
      <c r="A37" s="2">
        <v>46128</v>
      </c>
      <c r="B37" s="3">
        <v>1250</v>
      </c>
    </row>
    <row r="38" spans="1:2">
      <c r="A38" s="2">
        <v>46131</v>
      </c>
      <c r="B38" s="3">
        <v>1080</v>
      </c>
    </row>
    <row r="39" spans="1:2">
      <c r="A39" s="2">
        <v>46134</v>
      </c>
      <c r="B39" s="3">
        <v>190</v>
      </c>
    </row>
    <row r="40" spans="1:2">
      <c r="A40" s="2">
        <v>46137</v>
      </c>
      <c r="B40" s="3">
        <v>2550</v>
      </c>
    </row>
    <row r="41" spans="1:2">
      <c r="A41" s="2">
        <v>46139</v>
      </c>
      <c r="B41" s="3">
        <v>1800</v>
      </c>
    </row>
    <row r="42" spans="1:2">
      <c r="A42" s="2">
        <v>46141</v>
      </c>
      <c r="B42" s="3">
        <v>1760</v>
      </c>
    </row>
    <row r="43" spans="1:2">
      <c r="A43" s="2">
        <v>46142</v>
      </c>
      <c r="B43" s="3">
        <v>400</v>
      </c>
    </row>
    <row r="44" spans="1:2">
      <c r="A44" s="2" t="s">
        <v>82</v>
      </c>
      <c r="B44" s="3">
        <v>55635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120E-632F-4A81-801A-DDC90A1586B2}">
  <dimension ref="A3:B8"/>
  <sheetViews>
    <sheetView tabSelected="1" workbookViewId="0">
      <selection activeCell="B11" sqref="B11"/>
    </sheetView>
  </sheetViews>
  <sheetFormatPr defaultRowHeight="15"/>
  <cols>
    <col min="1" max="1" width="11.42578125" bestFit="1" customWidth="1"/>
    <col min="2" max="2" width="15.42578125" bestFit="1" customWidth="1"/>
  </cols>
  <sheetData>
    <row r="3" spans="1:2">
      <c r="A3" s="5" t="s">
        <v>18</v>
      </c>
      <c r="B3" t="s">
        <v>81</v>
      </c>
    </row>
    <row r="4" spans="1:2">
      <c r="A4" t="s">
        <v>83</v>
      </c>
      <c r="B4" s="3">
        <v>11800</v>
      </c>
    </row>
    <row r="5" spans="1:2">
      <c r="A5" t="s">
        <v>84</v>
      </c>
      <c r="B5" s="3">
        <v>15720</v>
      </c>
    </row>
    <row r="6" spans="1:2">
      <c r="A6" t="s">
        <v>85</v>
      </c>
      <c r="B6" s="3">
        <v>10909</v>
      </c>
    </row>
    <row r="7" spans="1:2">
      <c r="A7" t="s">
        <v>86</v>
      </c>
      <c r="B7" s="3">
        <v>17206</v>
      </c>
    </row>
    <row r="8" spans="1:2">
      <c r="A8" t="s">
        <v>82</v>
      </c>
      <c r="B8" s="3">
        <v>55635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2026-10-19T08:30:49Z</dcterms:created>
  <dcterms:modified xsi:type="dcterms:W3CDTF">2026-10-20T13:06:28Z</dcterms:modified>
  <cp:category/>
  <cp:contentStatus/>
</cp:coreProperties>
</file>